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9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'Summary'!$A$12:$A$23</f>
            </numRef>
          </cat>
          <val>
            <numRef>
              <f>'Summary'!$B$12:$B$23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'Summary'!$A$36:$A$40</f>
            </numRef>
          </cat>
          <val>
            <numRef>
              <f>'Summary'!$B$36:$B$40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25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Sales</t>
        </is>
      </c>
      <c r="H1" s="1" t="inlineStr">
        <is>
          <t>Profit Margin %</t>
        </is>
      </c>
    </row>
    <row r="2">
      <c r="A2" s="2" t="n">
        <v>1001</v>
      </c>
      <c r="B2" s="2" t="inlineStr">
        <is>
          <t>Jan</t>
        </is>
      </c>
      <c r="C2" s="2" t="inlineStr">
        <is>
          <t>North</t>
        </is>
      </c>
      <c r="D2" s="2" t="inlineStr">
        <is>
          <t>Laptop</t>
        </is>
      </c>
      <c r="E2" s="2" t="n">
        <v>91</v>
      </c>
      <c r="F2" s="2" t="n">
        <v>1200</v>
      </c>
      <c r="G2" s="3" t="n">
        <v>109200</v>
      </c>
      <c r="H2" s="4" t="n">
        <v>0.22</v>
      </c>
    </row>
    <row r="3">
      <c r="A3" s="5" t="n">
        <v>1002</v>
      </c>
      <c r="B3" s="5" t="inlineStr">
        <is>
          <t>Jan</t>
        </is>
      </c>
      <c r="C3" s="5" t="inlineStr">
        <is>
          <t>North</t>
        </is>
      </c>
      <c r="D3" s="5" t="inlineStr">
        <is>
          <t>Smartphone</t>
        </is>
      </c>
      <c r="E3" s="5" t="n">
        <v>24</v>
      </c>
      <c r="F3" s="5" t="n">
        <v>800</v>
      </c>
      <c r="G3" s="6" t="n">
        <v>19200</v>
      </c>
      <c r="H3" s="7" t="n">
        <v>0.28</v>
      </c>
    </row>
    <row r="4">
      <c r="A4" s="2" t="n">
        <v>1003</v>
      </c>
      <c r="B4" s="2" t="inlineStr">
        <is>
          <t>Jan</t>
        </is>
      </c>
      <c r="C4" s="2" t="inlineStr">
        <is>
          <t>North</t>
        </is>
      </c>
      <c r="D4" s="2" t="inlineStr">
        <is>
          <t>Tablet</t>
        </is>
      </c>
      <c r="E4" s="2" t="n">
        <v>13</v>
      </c>
      <c r="F4" s="2" t="n">
        <v>500</v>
      </c>
      <c r="G4" s="3" t="n">
        <v>6500</v>
      </c>
      <c r="H4" s="4" t="n">
        <v>0.25</v>
      </c>
    </row>
    <row r="5">
      <c r="A5" s="5" t="n">
        <v>1004</v>
      </c>
      <c r="B5" s="5" t="inlineStr">
        <is>
          <t>Jan</t>
        </is>
      </c>
      <c r="C5" s="5" t="inlineStr">
        <is>
          <t>North</t>
        </is>
      </c>
      <c r="D5" s="5" t="inlineStr">
        <is>
          <t>Monitor</t>
        </is>
      </c>
      <c r="E5" s="5" t="n">
        <v>45</v>
      </c>
      <c r="F5" s="5" t="n">
        <v>350</v>
      </c>
      <c r="G5" s="6" t="n">
        <v>15750</v>
      </c>
      <c r="H5" s="7" t="n">
        <v>0.2</v>
      </c>
    </row>
    <row r="6">
      <c r="A6" s="2" t="n">
        <v>1005</v>
      </c>
      <c r="B6" s="2" t="inlineStr">
        <is>
          <t>Jan</t>
        </is>
      </c>
      <c r="C6" s="2" t="inlineStr">
        <is>
          <t>North</t>
        </is>
      </c>
      <c r="D6" s="2" t="inlineStr">
        <is>
          <t>Keyboard</t>
        </is>
      </c>
      <c r="E6" s="2" t="n">
        <v>41</v>
      </c>
      <c r="F6" s="2" t="n">
        <v>100</v>
      </c>
      <c r="G6" s="3" t="n">
        <v>4100</v>
      </c>
      <c r="H6" s="4" t="n">
        <v>0.35</v>
      </c>
    </row>
    <row r="7">
      <c r="A7" s="5" t="n">
        <v>1006</v>
      </c>
      <c r="B7" s="5" t="inlineStr">
        <is>
          <t>Jan</t>
        </is>
      </c>
      <c r="C7" s="5" t="inlineStr">
        <is>
          <t>South</t>
        </is>
      </c>
      <c r="D7" s="5" t="inlineStr">
        <is>
          <t>Laptop</t>
        </is>
      </c>
      <c r="E7" s="5" t="n">
        <v>38</v>
      </c>
      <c r="F7" s="5" t="n">
        <v>1200</v>
      </c>
      <c r="G7" s="6" t="n">
        <v>45600</v>
      </c>
      <c r="H7" s="7" t="n">
        <v>0.22</v>
      </c>
    </row>
    <row r="8">
      <c r="A8" s="2" t="n">
        <v>1007</v>
      </c>
      <c r="B8" s="2" t="inlineStr">
        <is>
          <t>Jan</t>
        </is>
      </c>
      <c r="C8" s="2" t="inlineStr">
        <is>
          <t>South</t>
        </is>
      </c>
      <c r="D8" s="2" t="inlineStr">
        <is>
          <t>Smartphone</t>
        </is>
      </c>
      <c r="E8" s="2" t="n">
        <v>27</v>
      </c>
      <c r="F8" s="2" t="n">
        <v>800</v>
      </c>
      <c r="G8" s="3" t="n">
        <v>21600</v>
      </c>
      <c r="H8" s="4" t="n">
        <v>0.28</v>
      </c>
    </row>
    <row r="9">
      <c r="A9" s="5" t="n">
        <v>1008</v>
      </c>
      <c r="B9" s="5" t="inlineStr">
        <is>
          <t>Jan</t>
        </is>
      </c>
      <c r="C9" s="5" t="inlineStr">
        <is>
          <t>South</t>
        </is>
      </c>
      <c r="D9" s="5" t="inlineStr">
        <is>
          <t>Tablet</t>
        </is>
      </c>
      <c r="E9" s="5" t="n">
        <v>23</v>
      </c>
      <c r="F9" s="5" t="n">
        <v>500</v>
      </c>
      <c r="G9" s="6" t="n">
        <v>11500</v>
      </c>
      <c r="H9" s="7" t="n">
        <v>0.25</v>
      </c>
    </row>
    <row r="10">
      <c r="A10" s="2" t="n">
        <v>1009</v>
      </c>
      <c r="B10" s="2" t="inlineStr">
        <is>
          <t>Jan</t>
        </is>
      </c>
      <c r="C10" s="2" t="inlineStr">
        <is>
          <t>South</t>
        </is>
      </c>
      <c r="D10" s="2" t="inlineStr">
        <is>
          <t>Monitor</t>
        </is>
      </c>
      <c r="E10" s="2" t="n">
        <v>96</v>
      </c>
      <c r="F10" s="2" t="n">
        <v>350</v>
      </c>
      <c r="G10" s="3" t="n">
        <v>33600</v>
      </c>
      <c r="H10" s="4" t="n">
        <v>0.2</v>
      </c>
    </row>
    <row r="11">
      <c r="A11" s="5" t="n">
        <v>1010</v>
      </c>
      <c r="B11" s="5" t="inlineStr">
        <is>
          <t>Jan</t>
        </is>
      </c>
      <c r="C11" s="5" t="inlineStr">
        <is>
          <t>South</t>
        </is>
      </c>
      <c r="D11" s="5" t="inlineStr">
        <is>
          <t>Keyboard</t>
        </is>
      </c>
      <c r="E11" s="5" t="n">
        <v>79</v>
      </c>
      <c r="F11" s="5" t="n">
        <v>100</v>
      </c>
      <c r="G11" s="6" t="n">
        <v>7900</v>
      </c>
      <c r="H11" s="7" t="n">
        <v>0.35</v>
      </c>
    </row>
    <row r="12">
      <c r="A12" s="2" t="n">
        <v>1011</v>
      </c>
      <c r="B12" s="2" t="inlineStr">
        <is>
          <t>Jan</t>
        </is>
      </c>
      <c r="C12" s="2" t="inlineStr">
        <is>
          <t>East</t>
        </is>
      </c>
      <c r="D12" s="2" t="inlineStr">
        <is>
          <t>Laptop</t>
        </is>
      </c>
      <c r="E12" s="2" t="n">
        <v>21</v>
      </c>
      <c r="F12" s="2" t="n">
        <v>1200</v>
      </c>
      <c r="G12" s="3" t="n">
        <v>25200</v>
      </c>
      <c r="H12" s="4" t="n">
        <v>0.22</v>
      </c>
    </row>
    <row r="13">
      <c r="A13" s="5" t="n">
        <v>1012</v>
      </c>
      <c r="B13" s="5" t="inlineStr">
        <is>
          <t>Jan</t>
        </is>
      </c>
      <c r="C13" s="5" t="inlineStr">
        <is>
          <t>East</t>
        </is>
      </c>
      <c r="D13" s="5" t="inlineStr">
        <is>
          <t>Smartphone</t>
        </is>
      </c>
      <c r="E13" s="5" t="n">
        <v>85</v>
      </c>
      <c r="F13" s="5" t="n">
        <v>800</v>
      </c>
      <c r="G13" s="6" t="n">
        <v>68000</v>
      </c>
      <c r="H13" s="7" t="n">
        <v>0.28</v>
      </c>
    </row>
    <row r="14">
      <c r="A14" s="2" t="n">
        <v>1013</v>
      </c>
      <c r="B14" s="2" t="inlineStr">
        <is>
          <t>Jan</t>
        </is>
      </c>
      <c r="C14" s="2" t="inlineStr">
        <is>
          <t>East</t>
        </is>
      </c>
      <c r="D14" s="2" t="inlineStr">
        <is>
          <t>Tablet</t>
        </is>
      </c>
      <c r="E14" s="2" t="n">
        <v>64</v>
      </c>
      <c r="F14" s="2" t="n">
        <v>500</v>
      </c>
      <c r="G14" s="3" t="n">
        <v>32000</v>
      </c>
      <c r="H14" s="4" t="n">
        <v>0.25</v>
      </c>
    </row>
    <row r="15">
      <c r="A15" s="5" t="n">
        <v>1014</v>
      </c>
      <c r="B15" s="5" t="inlineStr">
        <is>
          <t>Jan</t>
        </is>
      </c>
      <c r="C15" s="5" t="inlineStr">
        <is>
          <t>East</t>
        </is>
      </c>
      <c r="D15" s="5" t="inlineStr">
        <is>
          <t>Monitor</t>
        </is>
      </c>
      <c r="E15" s="5" t="n">
        <v>14</v>
      </c>
      <c r="F15" s="5" t="n">
        <v>350</v>
      </c>
      <c r="G15" s="6" t="n">
        <v>4900</v>
      </c>
      <c r="H15" s="7" t="n">
        <v>0.2</v>
      </c>
    </row>
    <row r="16">
      <c r="A16" s="2" t="n">
        <v>1015</v>
      </c>
      <c r="B16" s="2" t="inlineStr">
        <is>
          <t>Jan</t>
        </is>
      </c>
      <c r="C16" s="2" t="inlineStr">
        <is>
          <t>East</t>
        </is>
      </c>
      <c r="D16" s="2" t="inlineStr">
        <is>
          <t>Keyboard</t>
        </is>
      </c>
      <c r="E16" s="2" t="n">
        <v>13</v>
      </c>
      <c r="F16" s="2" t="n">
        <v>100</v>
      </c>
      <c r="G16" s="3" t="n">
        <v>1300</v>
      </c>
      <c r="H16" s="4" t="n">
        <v>0.35</v>
      </c>
    </row>
    <row r="17">
      <c r="A17" s="5" t="n">
        <v>1016</v>
      </c>
      <c r="B17" s="5" t="inlineStr">
        <is>
          <t>Jan</t>
        </is>
      </c>
      <c r="C17" s="5" t="inlineStr">
        <is>
          <t>West</t>
        </is>
      </c>
      <c r="D17" s="5" t="inlineStr">
        <is>
          <t>Laptop</t>
        </is>
      </c>
      <c r="E17" s="5" t="n">
        <v>21</v>
      </c>
      <c r="F17" s="5" t="n">
        <v>1200</v>
      </c>
      <c r="G17" s="6" t="n">
        <v>25200</v>
      </c>
      <c r="H17" s="7" t="n">
        <v>0.22</v>
      </c>
    </row>
    <row r="18">
      <c r="A18" s="2" t="n">
        <v>1017</v>
      </c>
      <c r="B18" s="2" t="inlineStr">
        <is>
          <t>Jan</t>
        </is>
      </c>
      <c r="C18" s="2" t="inlineStr">
        <is>
          <t>West</t>
        </is>
      </c>
      <c r="D18" s="2" t="inlineStr">
        <is>
          <t>Smartphone</t>
        </is>
      </c>
      <c r="E18" s="2" t="n">
        <v>37</v>
      </c>
      <c r="F18" s="2" t="n">
        <v>800</v>
      </c>
      <c r="G18" s="3" t="n">
        <v>29600</v>
      </c>
      <c r="H18" s="4" t="n">
        <v>0.28</v>
      </c>
    </row>
    <row r="19">
      <c r="A19" s="5" t="n">
        <v>1018</v>
      </c>
      <c r="B19" s="5" t="inlineStr">
        <is>
          <t>Jan</t>
        </is>
      </c>
      <c r="C19" s="5" t="inlineStr">
        <is>
          <t>West</t>
        </is>
      </c>
      <c r="D19" s="5" t="inlineStr">
        <is>
          <t>Tablet</t>
        </is>
      </c>
      <c r="E19" s="5" t="n">
        <v>39</v>
      </c>
      <c r="F19" s="5" t="n">
        <v>500</v>
      </c>
      <c r="G19" s="6" t="n">
        <v>19500</v>
      </c>
      <c r="H19" s="7" t="n">
        <v>0.25</v>
      </c>
    </row>
    <row r="20">
      <c r="A20" s="2" t="n">
        <v>1019</v>
      </c>
      <c r="B20" s="2" t="inlineStr">
        <is>
          <t>Jan</t>
        </is>
      </c>
      <c r="C20" s="2" t="inlineStr">
        <is>
          <t>West</t>
        </is>
      </c>
      <c r="D20" s="2" t="inlineStr">
        <is>
          <t>Monitor</t>
        </is>
      </c>
      <c r="E20" s="2" t="n">
        <v>74</v>
      </c>
      <c r="F20" s="2" t="n">
        <v>350</v>
      </c>
      <c r="G20" s="3" t="n">
        <v>25900</v>
      </c>
      <c r="H20" s="4" t="n">
        <v>0.2</v>
      </c>
    </row>
    <row r="21">
      <c r="A21" s="5" t="n">
        <v>1020</v>
      </c>
      <c r="B21" s="5" t="inlineStr">
        <is>
          <t>Jan</t>
        </is>
      </c>
      <c r="C21" s="5" t="inlineStr">
        <is>
          <t>West</t>
        </is>
      </c>
      <c r="D21" s="5" t="inlineStr">
        <is>
          <t>Keyboard</t>
        </is>
      </c>
      <c r="E21" s="5" t="n">
        <v>87</v>
      </c>
      <c r="F21" s="5" t="n">
        <v>100</v>
      </c>
      <c r="G21" s="6" t="n">
        <v>8700</v>
      </c>
      <c r="H21" s="7" t="n">
        <v>0.35</v>
      </c>
    </row>
    <row r="22">
      <c r="A22" s="2" t="n">
        <v>1021</v>
      </c>
      <c r="B22" s="2" t="inlineStr">
        <is>
          <t>Feb</t>
        </is>
      </c>
      <c r="C22" s="2" t="inlineStr">
        <is>
          <t>North</t>
        </is>
      </c>
      <c r="D22" s="2" t="inlineStr">
        <is>
          <t>Laptop</t>
        </is>
      </c>
      <c r="E22" s="2" t="n">
        <v>13</v>
      </c>
      <c r="F22" s="2" t="n">
        <v>1200</v>
      </c>
      <c r="G22" s="3" t="n">
        <v>15600</v>
      </c>
      <c r="H22" s="4" t="n">
        <v>0.22</v>
      </c>
    </row>
    <row r="23">
      <c r="A23" s="5" t="n">
        <v>1022</v>
      </c>
      <c r="B23" s="5" t="inlineStr">
        <is>
          <t>Feb</t>
        </is>
      </c>
      <c r="C23" s="5" t="inlineStr">
        <is>
          <t>North</t>
        </is>
      </c>
      <c r="D23" s="5" t="inlineStr">
        <is>
          <t>Smartphone</t>
        </is>
      </c>
      <c r="E23" s="5" t="n">
        <v>81</v>
      </c>
      <c r="F23" s="5" t="n">
        <v>800</v>
      </c>
      <c r="G23" s="6" t="n">
        <v>64800</v>
      </c>
      <c r="H23" s="7" t="n">
        <v>0.28</v>
      </c>
    </row>
    <row r="24">
      <c r="A24" s="2" t="n">
        <v>1023</v>
      </c>
      <c r="B24" s="2" t="inlineStr">
        <is>
          <t>Feb</t>
        </is>
      </c>
      <c r="C24" s="2" t="inlineStr">
        <is>
          <t>North</t>
        </is>
      </c>
      <c r="D24" s="2" t="inlineStr">
        <is>
          <t>Tablet</t>
        </is>
      </c>
      <c r="E24" s="2" t="n">
        <v>35</v>
      </c>
      <c r="F24" s="2" t="n">
        <v>500</v>
      </c>
      <c r="G24" s="3" t="n">
        <v>17500</v>
      </c>
      <c r="H24" s="4" t="n">
        <v>0.25</v>
      </c>
    </row>
    <row r="25">
      <c r="A25" s="5" t="n">
        <v>1024</v>
      </c>
      <c r="B25" s="5" t="inlineStr">
        <is>
          <t>Feb</t>
        </is>
      </c>
      <c r="C25" s="5" t="inlineStr">
        <is>
          <t>North</t>
        </is>
      </c>
      <c r="D25" s="5" t="inlineStr">
        <is>
          <t>Monitor</t>
        </is>
      </c>
      <c r="E25" s="5" t="n">
        <v>93</v>
      </c>
      <c r="F25" s="5" t="n">
        <v>350</v>
      </c>
      <c r="G25" s="6" t="n">
        <v>32550</v>
      </c>
      <c r="H25" s="7" t="n">
        <v>0.2</v>
      </c>
    </row>
    <row r="26">
      <c r="A26" s="2" t="n">
        <v>1025</v>
      </c>
      <c r="B26" s="2" t="inlineStr">
        <is>
          <t>Feb</t>
        </is>
      </c>
      <c r="C26" s="2" t="inlineStr">
        <is>
          <t>North</t>
        </is>
      </c>
      <c r="D26" s="2" t="inlineStr">
        <is>
          <t>Keyboard</t>
        </is>
      </c>
      <c r="E26" s="2" t="n">
        <v>99</v>
      </c>
      <c r="F26" s="2" t="n">
        <v>100</v>
      </c>
      <c r="G26" s="3" t="n">
        <v>9900</v>
      </c>
      <c r="H26" s="4" t="n">
        <v>0.35</v>
      </c>
    </row>
    <row r="27">
      <c r="A27" s="5" t="n">
        <v>1026</v>
      </c>
      <c r="B27" s="5" t="inlineStr">
        <is>
          <t>Feb</t>
        </is>
      </c>
      <c r="C27" s="5" t="inlineStr">
        <is>
          <t>South</t>
        </is>
      </c>
      <c r="D27" s="5" t="inlineStr">
        <is>
          <t>Laptop</t>
        </is>
      </c>
      <c r="E27" s="5" t="n">
        <v>79</v>
      </c>
      <c r="F27" s="5" t="n">
        <v>1200</v>
      </c>
      <c r="G27" s="6" t="n">
        <v>94800</v>
      </c>
      <c r="H27" s="7" t="n">
        <v>0.22</v>
      </c>
    </row>
    <row r="28">
      <c r="A28" s="2" t="n">
        <v>1027</v>
      </c>
      <c r="B28" s="2" t="inlineStr">
        <is>
          <t>Feb</t>
        </is>
      </c>
      <c r="C28" s="2" t="inlineStr">
        <is>
          <t>South</t>
        </is>
      </c>
      <c r="D28" s="2" t="inlineStr">
        <is>
          <t>Smartphone</t>
        </is>
      </c>
      <c r="E28" s="2" t="n">
        <v>63</v>
      </c>
      <c r="F28" s="2" t="n">
        <v>800</v>
      </c>
      <c r="G28" s="3" t="n">
        <v>50400</v>
      </c>
      <c r="H28" s="4" t="n">
        <v>0.28</v>
      </c>
    </row>
    <row r="29">
      <c r="A29" s="5" t="n">
        <v>1028</v>
      </c>
      <c r="B29" s="5" t="inlineStr">
        <is>
          <t>Feb</t>
        </is>
      </c>
      <c r="C29" s="5" t="inlineStr">
        <is>
          <t>South</t>
        </is>
      </c>
      <c r="D29" s="5" t="inlineStr">
        <is>
          <t>Tablet</t>
        </is>
      </c>
      <c r="E29" s="5" t="n">
        <v>38</v>
      </c>
      <c r="F29" s="5" t="n">
        <v>500</v>
      </c>
      <c r="G29" s="6" t="n">
        <v>19000</v>
      </c>
      <c r="H29" s="7" t="n">
        <v>0.25</v>
      </c>
    </row>
    <row r="30">
      <c r="A30" s="2" t="n">
        <v>1029</v>
      </c>
      <c r="B30" s="2" t="inlineStr">
        <is>
          <t>Feb</t>
        </is>
      </c>
      <c r="C30" s="2" t="inlineStr">
        <is>
          <t>South</t>
        </is>
      </c>
      <c r="D30" s="2" t="inlineStr">
        <is>
          <t>Monitor</t>
        </is>
      </c>
      <c r="E30" s="2" t="n">
        <v>67</v>
      </c>
      <c r="F30" s="2" t="n">
        <v>350</v>
      </c>
      <c r="G30" s="3" t="n">
        <v>23450</v>
      </c>
      <c r="H30" s="4" t="n">
        <v>0.2</v>
      </c>
    </row>
    <row r="31">
      <c r="A31" s="5" t="n">
        <v>1030</v>
      </c>
      <c r="B31" s="5" t="inlineStr">
        <is>
          <t>Feb</t>
        </is>
      </c>
      <c r="C31" s="5" t="inlineStr">
        <is>
          <t>South</t>
        </is>
      </c>
      <c r="D31" s="5" t="inlineStr">
        <is>
          <t>Keyboard</t>
        </is>
      </c>
      <c r="E31" s="5" t="n">
        <v>85</v>
      </c>
      <c r="F31" s="5" t="n">
        <v>100</v>
      </c>
      <c r="G31" s="6" t="n">
        <v>8500</v>
      </c>
      <c r="H31" s="7" t="n">
        <v>0.35</v>
      </c>
    </row>
    <row r="32">
      <c r="A32" s="2" t="n">
        <v>1031</v>
      </c>
      <c r="B32" s="2" t="inlineStr">
        <is>
          <t>Feb</t>
        </is>
      </c>
      <c r="C32" s="2" t="inlineStr">
        <is>
          <t>East</t>
        </is>
      </c>
      <c r="D32" s="2" t="inlineStr">
        <is>
          <t>Laptop</t>
        </is>
      </c>
      <c r="E32" s="2" t="n">
        <v>45</v>
      </c>
      <c r="F32" s="2" t="n">
        <v>1200</v>
      </c>
      <c r="G32" s="3" t="n">
        <v>54000</v>
      </c>
      <c r="H32" s="4" t="n">
        <v>0.22</v>
      </c>
    </row>
    <row r="33">
      <c r="A33" s="5" t="n">
        <v>1032</v>
      </c>
      <c r="B33" s="5" t="inlineStr">
        <is>
          <t>Feb</t>
        </is>
      </c>
      <c r="C33" s="5" t="inlineStr">
        <is>
          <t>East</t>
        </is>
      </c>
      <c r="D33" s="5" t="inlineStr">
        <is>
          <t>Smartphone</t>
        </is>
      </c>
      <c r="E33" s="5" t="n">
        <v>10</v>
      </c>
      <c r="F33" s="5" t="n">
        <v>800</v>
      </c>
      <c r="G33" s="6" t="n">
        <v>8000</v>
      </c>
      <c r="H33" s="7" t="n">
        <v>0.28</v>
      </c>
    </row>
    <row r="34">
      <c r="A34" s="2" t="n">
        <v>1033</v>
      </c>
      <c r="B34" s="2" t="inlineStr">
        <is>
          <t>Feb</t>
        </is>
      </c>
      <c r="C34" s="2" t="inlineStr">
        <is>
          <t>East</t>
        </is>
      </c>
      <c r="D34" s="2" t="inlineStr">
        <is>
          <t>Tablet</t>
        </is>
      </c>
      <c r="E34" s="2" t="n">
        <v>30</v>
      </c>
      <c r="F34" s="2" t="n">
        <v>500</v>
      </c>
      <c r="G34" s="3" t="n">
        <v>15000</v>
      </c>
      <c r="H34" s="4" t="n">
        <v>0.25</v>
      </c>
    </row>
    <row r="35">
      <c r="A35" s="5" t="n">
        <v>1034</v>
      </c>
      <c r="B35" s="5" t="inlineStr">
        <is>
          <t>Feb</t>
        </is>
      </c>
      <c r="C35" s="5" t="inlineStr">
        <is>
          <t>East</t>
        </is>
      </c>
      <c r="D35" s="5" t="inlineStr">
        <is>
          <t>Monitor</t>
        </is>
      </c>
      <c r="E35" s="5" t="n">
        <v>99</v>
      </c>
      <c r="F35" s="5" t="n">
        <v>350</v>
      </c>
      <c r="G35" s="6" t="n">
        <v>34650</v>
      </c>
      <c r="H35" s="7" t="n">
        <v>0.2</v>
      </c>
    </row>
    <row r="36">
      <c r="A36" s="2" t="n">
        <v>1035</v>
      </c>
      <c r="B36" s="2" t="inlineStr">
        <is>
          <t>Feb</t>
        </is>
      </c>
      <c r="C36" s="2" t="inlineStr">
        <is>
          <t>East</t>
        </is>
      </c>
      <c r="D36" s="2" t="inlineStr">
        <is>
          <t>Keyboard</t>
        </is>
      </c>
      <c r="E36" s="2" t="n">
        <v>64</v>
      </c>
      <c r="F36" s="2" t="n">
        <v>100</v>
      </c>
      <c r="G36" s="3" t="n">
        <v>6400</v>
      </c>
      <c r="H36" s="4" t="n">
        <v>0.35</v>
      </c>
    </row>
    <row r="37">
      <c r="A37" s="5" t="n">
        <v>1036</v>
      </c>
      <c r="B37" s="5" t="inlineStr">
        <is>
          <t>Feb</t>
        </is>
      </c>
      <c r="C37" s="5" t="inlineStr">
        <is>
          <t>West</t>
        </is>
      </c>
      <c r="D37" s="5" t="inlineStr">
        <is>
          <t>Laptop</t>
        </is>
      </c>
      <c r="E37" s="5" t="n">
        <v>53</v>
      </c>
      <c r="F37" s="5" t="n">
        <v>1200</v>
      </c>
      <c r="G37" s="6" t="n">
        <v>63600</v>
      </c>
      <c r="H37" s="7" t="n">
        <v>0.22</v>
      </c>
    </row>
    <row r="38">
      <c r="A38" s="2" t="n">
        <v>1037</v>
      </c>
      <c r="B38" s="2" t="inlineStr">
        <is>
          <t>Feb</t>
        </is>
      </c>
      <c r="C38" s="2" t="inlineStr">
        <is>
          <t>West</t>
        </is>
      </c>
      <c r="D38" s="2" t="inlineStr">
        <is>
          <t>Smartphone</t>
        </is>
      </c>
      <c r="E38" s="2" t="n">
        <v>45</v>
      </c>
      <c r="F38" s="2" t="n">
        <v>800</v>
      </c>
      <c r="G38" s="3" t="n">
        <v>36000</v>
      </c>
      <c r="H38" s="4" t="n">
        <v>0.28</v>
      </c>
    </row>
    <row r="39">
      <c r="A39" s="5" t="n">
        <v>1038</v>
      </c>
      <c r="B39" s="5" t="inlineStr">
        <is>
          <t>Feb</t>
        </is>
      </c>
      <c r="C39" s="5" t="inlineStr">
        <is>
          <t>West</t>
        </is>
      </c>
      <c r="D39" s="5" t="inlineStr">
        <is>
          <t>Tablet</t>
        </is>
      </c>
      <c r="E39" s="5" t="n">
        <v>29</v>
      </c>
      <c r="F39" s="5" t="n">
        <v>500</v>
      </c>
      <c r="G39" s="6" t="n">
        <v>14500</v>
      </c>
      <c r="H39" s="7" t="n">
        <v>0.25</v>
      </c>
    </row>
    <row r="40">
      <c r="A40" s="2" t="n">
        <v>1039</v>
      </c>
      <c r="B40" s="2" t="inlineStr">
        <is>
          <t>Feb</t>
        </is>
      </c>
      <c r="C40" s="2" t="inlineStr">
        <is>
          <t>West</t>
        </is>
      </c>
      <c r="D40" s="2" t="inlineStr">
        <is>
          <t>Monitor</t>
        </is>
      </c>
      <c r="E40" s="2" t="n">
        <v>37</v>
      </c>
      <c r="F40" s="2" t="n">
        <v>350</v>
      </c>
      <c r="G40" s="3" t="n">
        <v>12950</v>
      </c>
      <c r="H40" s="4" t="n">
        <v>0.2</v>
      </c>
    </row>
    <row r="41">
      <c r="A41" s="5" t="n">
        <v>1040</v>
      </c>
      <c r="B41" s="5" t="inlineStr">
        <is>
          <t>Feb</t>
        </is>
      </c>
      <c r="C41" s="5" t="inlineStr">
        <is>
          <t>West</t>
        </is>
      </c>
      <c r="D41" s="5" t="inlineStr">
        <is>
          <t>Keyboard</t>
        </is>
      </c>
      <c r="E41" s="5" t="n">
        <v>53</v>
      </c>
      <c r="F41" s="5" t="n">
        <v>100</v>
      </c>
      <c r="G41" s="6" t="n">
        <v>5300</v>
      </c>
      <c r="H41" s="7" t="n">
        <v>0.35</v>
      </c>
    </row>
    <row r="42">
      <c r="A42" s="2" t="n">
        <v>1041</v>
      </c>
      <c r="B42" s="2" t="inlineStr">
        <is>
          <t>Mar</t>
        </is>
      </c>
      <c r="C42" s="2" t="inlineStr">
        <is>
          <t>North</t>
        </is>
      </c>
      <c r="D42" s="2" t="inlineStr">
        <is>
          <t>Laptop</t>
        </is>
      </c>
      <c r="E42" s="2" t="n">
        <v>23</v>
      </c>
      <c r="F42" s="2" t="n">
        <v>1200</v>
      </c>
      <c r="G42" s="3" t="n">
        <v>27600</v>
      </c>
      <c r="H42" s="4" t="n">
        <v>0.22</v>
      </c>
    </row>
    <row r="43">
      <c r="A43" s="5" t="n">
        <v>1042</v>
      </c>
      <c r="B43" s="5" t="inlineStr">
        <is>
          <t>Mar</t>
        </is>
      </c>
      <c r="C43" s="5" t="inlineStr">
        <is>
          <t>North</t>
        </is>
      </c>
      <c r="D43" s="5" t="inlineStr">
        <is>
          <t>Smartphone</t>
        </is>
      </c>
      <c r="E43" s="5" t="n">
        <v>21</v>
      </c>
      <c r="F43" s="5" t="n">
        <v>800</v>
      </c>
      <c r="G43" s="6" t="n">
        <v>16800</v>
      </c>
      <c r="H43" s="7" t="n">
        <v>0.28</v>
      </c>
    </row>
    <row r="44">
      <c r="A44" s="2" t="n">
        <v>1043</v>
      </c>
      <c r="B44" s="2" t="inlineStr">
        <is>
          <t>Mar</t>
        </is>
      </c>
      <c r="C44" s="2" t="inlineStr">
        <is>
          <t>North</t>
        </is>
      </c>
      <c r="D44" s="2" t="inlineStr">
        <is>
          <t>Tablet</t>
        </is>
      </c>
      <c r="E44" s="2" t="n">
        <v>58</v>
      </c>
      <c r="F44" s="2" t="n">
        <v>500</v>
      </c>
      <c r="G44" s="3" t="n">
        <v>29000</v>
      </c>
      <c r="H44" s="4" t="n">
        <v>0.25</v>
      </c>
    </row>
    <row r="45">
      <c r="A45" s="5" t="n">
        <v>1044</v>
      </c>
      <c r="B45" s="5" t="inlineStr">
        <is>
          <t>Mar</t>
        </is>
      </c>
      <c r="C45" s="5" t="inlineStr">
        <is>
          <t>North</t>
        </is>
      </c>
      <c r="D45" s="5" t="inlineStr">
        <is>
          <t>Monitor</t>
        </is>
      </c>
      <c r="E45" s="5" t="n">
        <v>22</v>
      </c>
      <c r="F45" s="5" t="n">
        <v>350</v>
      </c>
      <c r="G45" s="6" t="n">
        <v>7700</v>
      </c>
      <c r="H45" s="7" t="n">
        <v>0.2</v>
      </c>
    </row>
    <row r="46">
      <c r="A46" s="2" t="n">
        <v>1045</v>
      </c>
      <c r="B46" s="2" t="inlineStr">
        <is>
          <t>Mar</t>
        </is>
      </c>
      <c r="C46" s="2" t="inlineStr">
        <is>
          <t>North</t>
        </is>
      </c>
      <c r="D46" s="2" t="inlineStr">
        <is>
          <t>Keyboard</t>
        </is>
      </c>
      <c r="E46" s="2" t="n">
        <v>55</v>
      </c>
      <c r="F46" s="2" t="n">
        <v>100</v>
      </c>
      <c r="G46" s="3" t="n">
        <v>5500</v>
      </c>
      <c r="H46" s="4" t="n">
        <v>0.35</v>
      </c>
    </row>
    <row r="47">
      <c r="A47" s="5" t="n">
        <v>1046</v>
      </c>
      <c r="B47" s="5" t="inlineStr">
        <is>
          <t>Mar</t>
        </is>
      </c>
      <c r="C47" s="5" t="inlineStr">
        <is>
          <t>South</t>
        </is>
      </c>
      <c r="D47" s="5" t="inlineStr">
        <is>
          <t>Laptop</t>
        </is>
      </c>
      <c r="E47" s="5" t="n">
        <v>54</v>
      </c>
      <c r="F47" s="5" t="n">
        <v>1200</v>
      </c>
      <c r="G47" s="6" t="n">
        <v>64800</v>
      </c>
      <c r="H47" s="7" t="n">
        <v>0.22</v>
      </c>
    </row>
    <row r="48">
      <c r="A48" s="2" t="n">
        <v>1047</v>
      </c>
      <c r="B48" s="2" t="inlineStr">
        <is>
          <t>Mar</t>
        </is>
      </c>
      <c r="C48" s="2" t="inlineStr">
        <is>
          <t>South</t>
        </is>
      </c>
      <c r="D48" s="2" t="inlineStr">
        <is>
          <t>Smartphone</t>
        </is>
      </c>
      <c r="E48" s="2" t="n">
        <v>87</v>
      </c>
      <c r="F48" s="2" t="n">
        <v>800</v>
      </c>
      <c r="G48" s="3" t="n">
        <v>69600</v>
      </c>
      <c r="H48" s="4" t="n">
        <v>0.28</v>
      </c>
    </row>
    <row r="49">
      <c r="A49" s="5" t="n">
        <v>1048</v>
      </c>
      <c r="B49" s="5" t="inlineStr">
        <is>
          <t>Mar</t>
        </is>
      </c>
      <c r="C49" s="5" t="inlineStr">
        <is>
          <t>South</t>
        </is>
      </c>
      <c r="D49" s="5" t="inlineStr">
        <is>
          <t>Tablet</t>
        </is>
      </c>
      <c r="E49" s="5" t="n">
        <v>43</v>
      </c>
      <c r="F49" s="5" t="n">
        <v>500</v>
      </c>
      <c r="G49" s="6" t="n">
        <v>21500</v>
      </c>
      <c r="H49" s="7" t="n">
        <v>0.25</v>
      </c>
    </row>
    <row r="50">
      <c r="A50" s="2" t="n">
        <v>1049</v>
      </c>
      <c r="B50" s="2" t="inlineStr">
        <is>
          <t>Mar</t>
        </is>
      </c>
      <c r="C50" s="2" t="inlineStr">
        <is>
          <t>South</t>
        </is>
      </c>
      <c r="D50" s="2" t="inlineStr">
        <is>
          <t>Monitor</t>
        </is>
      </c>
      <c r="E50" s="2" t="n">
        <v>15</v>
      </c>
      <c r="F50" s="2" t="n">
        <v>350</v>
      </c>
      <c r="G50" s="3" t="n">
        <v>5250</v>
      </c>
      <c r="H50" s="4" t="n">
        <v>0.2</v>
      </c>
    </row>
    <row r="51">
      <c r="A51" s="5" t="n">
        <v>1050</v>
      </c>
      <c r="B51" s="5" t="inlineStr">
        <is>
          <t>Mar</t>
        </is>
      </c>
      <c r="C51" s="5" t="inlineStr">
        <is>
          <t>South</t>
        </is>
      </c>
      <c r="D51" s="5" t="inlineStr">
        <is>
          <t>Keyboard</t>
        </is>
      </c>
      <c r="E51" s="5" t="n">
        <v>68</v>
      </c>
      <c r="F51" s="5" t="n">
        <v>100</v>
      </c>
      <c r="G51" s="6" t="n">
        <v>6800</v>
      </c>
      <c r="H51" s="7" t="n">
        <v>0.35</v>
      </c>
    </row>
    <row r="52">
      <c r="A52" s="2" t="n">
        <v>1051</v>
      </c>
      <c r="B52" s="2" t="inlineStr">
        <is>
          <t>Mar</t>
        </is>
      </c>
      <c r="C52" s="2" t="inlineStr">
        <is>
          <t>East</t>
        </is>
      </c>
      <c r="D52" s="2" t="inlineStr">
        <is>
          <t>Laptop</t>
        </is>
      </c>
      <c r="E52" s="2" t="n">
        <v>78</v>
      </c>
      <c r="F52" s="2" t="n">
        <v>1200</v>
      </c>
      <c r="G52" s="3" t="n">
        <v>93600</v>
      </c>
      <c r="H52" s="4" t="n">
        <v>0.22</v>
      </c>
    </row>
    <row r="53">
      <c r="A53" s="5" t="n">
        <v>1052</v>
      </c>
      <c r="B53" s="5" t="inlineStr">
        <is>
          <t>Mar</t>
        </is>
      </c>
      <c r="C53" s="5" t="inlineStr">
        <is>
          <t>East</t>
        </is>
      </c>
      <c r="D53" s="5" t="inlineStr">
        <is>
          <t>Smartphone</t>
        </is>
      </c>
      <c r="E53" s="5" t="n">
        <v>25</v>
      </c>
      <c r="F53" s="5" t="n">
        <v>800</v>
      </c>
      <c r="G53" s="6" t="n">
        <v>20000</v>
      </c>
      <c r="H53" s="7" t="n">
        <v>0.28</v>
      </c>
    </row>
    <row r="54">
      <c r="A54" s="2" t="n">
        <v>1053</v>
      </c>
      <c r="B54" s="2" t="inlineStr">
        <is>
          <t>Mar</t>
        </is>
      </c>
      <c r="C54" s="2" t="inlineStr">
        <is>
          <t>East</t>
        </is>
      </c>
      <c r="D54" s="2" t="inlineStr">
        <is>
          <t>Tablet</t>
        </is>
      </c>
      <c r="E54" s="2" t="n">
        <v>58</v>
      </c>
      <c r="F54" s="2" t="n">
        <v>500</v>
      </c>
      <c r="G54" s="3" t="n">
        <v>29000</v>
      </c>
      <c r="H54" s="4" t="n">
        <v>0.25</v>
      </c>
    </row>
    <row r="55">
      <c r="A55" s="5" t="n">
        <v>1054</v>
      </c>
      <c r="B55" s="5" t="inlineStr">
        <is>
          <t>Mar</t>
        </is>
      </c>
      <c r="C55" s="5" t="inlineStr">
        <is>
          <t>East</t>
        </is>
      </c>
      <c r="D55" s="5" t="inlineStr">
        <is>
          <t>Monitor</t>
        </is>
      </c>
      <c r="E55" s="5" t="n">
        <v>20</v>
      </c>
      <c r="F55" s="5" t="n">
        <v>350</v>
      </c>
      <c r="G55" s="6" t="n">
        <v>7000</v>
      </c>
      <c r="H55" s="7" t="n">
        <v>0.2</v>
      </c>
    </row>
    <row r="56">
      <c r="A56" s="2" t="n">
        <v>1055</v>
      </c>
      <c r="B56" s="2" t="inlineStr">
        <is>
          <t>Mar</t>
        </is>
      </c>
      <c r="C56" s="2" t="inlineStr">
        <is>
          <t>East</t>
        </is>
      </c>
      <c r="D56" s="2" t="inlineStr">
        <is>
          <t>Keyboard</t>
        </is>
      </c>
      <c r="E56" s="2" t="n">
        <v>80</v>
      </c>
      <c r="F56" s="2" t="n">
        <v>100</v>
      </c>
      <c r="G56" s="3" t="n">
        <v>8000</v>
      </c>
      <c r="H56" s="4" t="n">
        <v>0.35</v>
      </c>
    </row>
    <row r="57">
      <c r="A57" s="5" t="n">
        <v>1056</v>
      </c>
      <c r="B57" s="5" t="inlineStr">
        <is>
          <t>Mar</t>
        </is>
      </c>
      <c r="C57" s="5" t="inlineStr">
        <is>
          <t>West</t>
        </is>
      </c>
      <c r="D57" s="5" t="inlineStr">
        <is>
          <t>Laptop</t>
        </is>
      </c>
      <c r="E57" s="5" t="n">
        <v>47</v>
      </c>
      <c r="F57" s="5" t="n">
        <v>1200</v>
      </c>
      <c r="G57" s="6" t="n">
        <v>56400</v>
      </c>
      <c r="H57" s="7" t="n">
        <v>0.22</v>
      </c>
    </row>
    <row r="58">
      <c r="A58" s="2" t="n">
        <v>1057</v>
      </c>
      <c r="B58" s="2" t="inlineStr">
        <is>
          <t>Mar</t>
        </is>
      </c>
      <c r="C58" s="2" t="inlineStr">
        <is>
          <t>West</t>
        </is>
      </c>
      <c r="D58" s="2" t="inlineStr">
        <is>
          <t>Smartphone</t>
        </is>
      </c>
      <c r="E58" s="2" t="n">
        <v>90</v>
      </c>
      <c r="F58" s="2" t="n">
        <v>800</v>
      </c>
      <c r="G58" s="3" t="n">
        <v>72000</v>
      </c>
      <c r="H58" s="4" t="n">
        <v>0.28</v>
      </c>
    </row>
    <row r="59">
      <c r="A59" s="5" t="n">
        <v>1058</v>
      </c>
      <c r="B59" s="5" t="inlineStr">
        <is>
          <t>Mar</t>
        </is>
      </c>
      <c r="C59" s="5" t="inlineStr">
        <is>
          <t>West</t>
        </is>
      </c>
      <c r="D59" s="5" t="inlineStr">
        <is>
          <t>Tablet</t>
        </is>
      </c>
      <c r="E59" s="5" t="n">
        <v>89</v>
      </c>
      <c r="F59" s="5" t="n">
        <v>500</v>
      </c>
      <c r="G59" s="6" t="n">
        <v>44500</v>
      </c>
      <c r="H59" s="7" t="n">
        <v>0.25</v>
      </c>
    </row>
    <row r="60">
      <c r="A60" s="2" t="n">
        <v>1059</v>
      </c>
      <c r="B60" s="2" t="inlineStr">
        <is>
          <t>Mar</t>
        </is>
      </c>
      <c r="C60" s="2" t="inlineStr">
        <is>
          <t>West</t>
        </is>
      </c>
      <c r="D60" s="2" t="inlineStr">
        <is>
          <t>Monitor</t>
        </is>
      </c>
      <c r="E60" s="2" t="n">
        <v>56</v>
      </c>
      <c r="F60" s="2" t="n">
        <v>350</v>
      </c>
      <c r="G60" s="3" t="n">
        <v>19600</v>
      </c>
      <c r="H60" s="4" t="n">
        <v>0.2</v>
      </c>
    </row>
    <row r="61">
      <c r="A61" s="5" t="n">
        <v>1060</v>
      </c>
      <c r="B61" s="5" t="inlineStr">
        <is>
          <t>Mar</t>
        </is>
      </c>
      <c r="C61" s="5" t="inlineStr">
        <is>
          <t>West</t>
        </is>
      </c>
      <c r="D61" s="5" t="inlineStr">
        <is>
          <t>Keyboard</t>
        </is>
      </c>
      <c r="E61" s="5" t="n">
        <v>83</v>
      </c>
      <c r="F61" s="5" t="n">
        <v>100</v>
      </c>
      <c r="G61" s="6" t="n">
        <v>8300</v>
      </c>
      <c r="H61" s="7" t="n">
        <v>0.35</v>
      </c>
    </row>
    <row r="62">
      <c r="A62" s="2" t="n">
        <v>1061</v>
      </c>
      <c r="B62" s="2" t="inlineStr">
        <is>
          <t>Apr</t>
        </is>
      </c>
      <c r="C62" s="2" t="inlineStr">
        <is>
          <t>North</t>
        </is>
      </c>
      <c r="D62" s="2" t="inlineStr">
        <is>
          <t>Laptop</t>
        </is>
      </c>
      <c r="E62" s="2" t="n">
        <v>34</v>
      </c>
      <c r="F62" s="2" t="n">
        <v>1200</v>
      </c>
      <c r="G62" s="3" t="n">
        <v>40800</v>
      </c>
      <c r="H62" s="4" t="n">
        <v>0.22</v>
      </c>
    </row>
    <row r="63">
      <c r="A63" s="5" t="n">
        <v>1062</v>
      </c>
      <c r="B63" s="5" t="inlineStr">
        <is>
          <t>Apr</t>
        </is>
      </c>
      <c r="C63" s="5" t="inlineStr">
        <is>
          <t>North</t>
        </is>
      </c>
      <c r="D63" s="5" t="inlineStr">
        <is>
          <t>Smartphone</t>
        </is>
      </c>
      <c r="E63" s="5" t="n">
        <v>100</v>
      </c>
      <c r="F63" s="5" t="n">
        <v>800</v>
      </c>
      <c r="G63" s="6" t="n">
        <v>80000</v>
      </c>
      <c r="H63" s="7" t="n">
        <v>0.28</v>
      </c>
    </row>
    <row r="64">
      <c r="A64" s="2" t="n">
        <v>1063</v>
      </c>
      <c r="B64" s="2" t="inlineStr">
        <is>
          <t>Apr</t>
        </is>
      </c>
      <c r="C64" s="2" t="inlineStr">
        <is>
          <t>North</t>
        </is>
      </c>
      <c r="D64" s="2" t="inlineStr">
        <is>
          <t>Tablet</t>
        </is>
      </c>
      <c r="E64" s="2" t="n">
        <v>18</v>
      </c>
      <c r="F64" s="2" t="n">
        <v>500</v>
      </c>
      <c r="G64" s="3" t="n">
        <v>9000</v>
      </c>
      <c r="H64" s="4" t="n">
        <v>0.25</v>
      </c>
    </row>
    <row r="65">
      <c r="A65" s="5" t="n">
        <v>1064</v>
      </c>
      <c r="B65" s="5" t="inlineStr">
        <is>
          <t>Apr</t>
        </is>
      </c>
      <c r="C65" s="5" t="inlineStr">
        <is>
          <t>North</t>
        </is>
      </c>
      <c r="D65" s="5" t="inlineStr">
        <is>
          <t>Monitor</t>
        </is>
      </c>
      <c r="E65" s="5" t="n">
        <v>15</v>
      </c>
      <c r="F65" s="5" t="n">
        <v>350</v>
      </c>
      <c r="G65" s="6" t="n">
        <v>5250</v>
      </c>
      <c r="H65" s="7" t="n">
        <v>0.2</v>
      </c>
    </row>
    <row r="66">
      <c r="A66" s="2" t="n">
        <v>1065</v>
      </c>
      <c r="B66" s="2" t="inlineStr">
        <is>
          <t>Apr</t>
        </is>
      </c>
      <c r="C66" s="2" t="inlineStr">
        <is>
          <t>North</t>
        </is>
      </c>
      <c r="D66" s="2" t="inlineStr">
        <is>
          <t>Keyboard</t>
        </is>
      </c>
      <c r="E66" s="2" t="n">
        <v>94</v>
      </c>
      <c r="F66" s="2" t="n">
        <v>100</v>
      </c>
      <c r="G66" s="3" t="n">
        <v>9400</v>
      </c>
      <c r="H66" s="4" t="n">
        <v>0.35</v>
      </c>
    </row>
    <row r="67">
      <c r="A67" s="5" t="n">
        <v>1066</v>
      </c>
      <c r="B67" s="5" t="inlineStr">
        <is>
          <t>Apr</t>
        </is>
      </c>
      <c r="C67" s="5" t="inlineStr">
        <is>
          <t>South</t>
        </is>
      </c>
      <c r="D67" s="5" t="inlineStr">
        <is>
          <t>Laptop</t>
        </is>
      </c>
      <c r="E67" s="5" t="n">
        <v>39</v>
      </c>
      <c r="F67" s="5" t="n">
        <v>1200</v>
      </c>
      <c r="G67" s="6" t="n">
        <v>46800</v>
      </c>
      <c r="H67" s="7" t="n">
        <v>0.22</v>
      </c>
    </row>
    <row r="68">
      <c r="A68" s="2" t="n">
        <v>1067</v>
      </c>
      <c r="B68" s="2" t="inlineStr">
        <is>
          <t>Apr</t>
        </is>
      </c>
      <c r="C68" s="2" t="inlineStr">
        <is>
          <t>South</t>
        </is>
      </c>
      <c r="D68" s="2" t="inlineStr">
        <is>
          <t>Smartphone</t>
        </is>
      </c>
      <c r="E68" s="2" t="n">
        <v>47</v>
      </c>
      <c r="F68" s="2" t="n">
        <v>800</v>
      </c>
      <c r="G68" s="3" t="n">
        <v>37600</v>
      </c>
      <c r="H68" s="4" t="n">
        <v>0.28</v>
      </c>
    </row>
    <row r="69">
      <c r="A69" s="5" t="n">
        <v>1068</v>
      </c>
      <c r="B69" s="5" t="inlineStr">
        <is>
          <t>Apr</t>
        </is>
      </c>
      <c r="C69" s="5" t="inlineStr">
        <is>
          <t>South</t>
        </is>
      </c>
      <c r="D69" s="5" t="inlineStr">
        <is>
          <t>Tablet</t>
        </is>
      </c>
      <c r="E69" s="5" t="n">
        <v>20</v>
      </c>
      <c r="F69" s="5" t="n">
        <v>500</v>
      </c>
      <c r="G69" s="6" t="n">
        <v>10000</v>
      </c>
      <c r="H69" s="7" t="n">
        <v>0.25</v>
      </c>
    </row>
    <row r="70">
      <c r="A70" s="2" t="n">
        <v>1069</v>
      </c>
      <c r="B70" s="2" t="inlineStr">
        <is>
          <t>Apr</t>
        </is>
      </c>
      <c r="C70" s="2" t="inlineStr">
        <is>
          <t>South</t>
        </is>
      </c>
      <c r="D70" s="2" t="inlineStr">
        <is>
          <t>Monitor</t>
        </is>
      </c>
      <c r="E70" s="2" t="n">
        <v>39</v>
      </c>
      <c r="F70" s="2" t="n">
        <v>350</v>
      </c>
      <c r="G70" s="3" t="n">
        <v>13650</v>
      </c>
      <c r="H70" s="4" t="n">
        <v>0.2</v>
      </c>
    </row>
    <row r="71">
      <c r="A71" s="5" t="n">
        <v>1070</v>
      </c>
      <c r="B71" s="5" t="inlineStr">
        <is>
          <t>Apr</t>
        </is>
      </c>
      <c r="C71" s="5" t="inlineStr">
        <is>
          <t>South</t>
        </is>
      </c>
      <c r="D71" s="5" t="inlineStr">
        <is>
          <t>Keyboard</t>
        </is>
      </c>
      <c r="E71" s="5" t="n">
        <v>22</v>
      </c>
      <c r="F71" s="5" t="n">
        <v>100</v>
      </c>
      <c r="G71" s="6" t="n">
        <v>2200</v>
      </c>
      <c r="H71" s="7" t="n">
        <v>0.35</v>
      </c>
    </row>
    <row r="72">
      <c r="A72" s="2" t="n">
        <v>1071</v>
      </c>
      <c r="B72" s="2" t="inlineStr">
        <is>
          <t>Apr</t>
        </is>
      </c>
      <c r="C72" s="2" t="inlineStr">
        <is>
          <t>East</t>
        </is>
      </c>
      <c r="D72" s="2" t="inlineStr">
        <is>
          <t>Laptop</t>
        </is>
      </c>
      <c r="E72" s="2" t="n">
        <v>58</v>
      </c>
      <c r="F72" s="2" t="n">
        <v>1200</v>
      </c>
      <c r="G72" s="3" t="n">
        <v>69600</v>
      </c>
      <c r="H72" s="4" t="n">
        <v>0.22</v>
      </c>
    </row>
    <row r="73">
      <c r="A73" s="5" t="n">
        <v>1072</v>
      </c>
      <c r="B73" s="5" t="inlineStr">
        <is>
          <t>Apr</t>
        </is>
      </c>
      <c r="C73" s="5" t="inlineStr">
        <is>
          <t>East</t>
        </is>
      </c>
      <c r="D73" s="5" t="inlineStr">
        <is>
          <t>Smartphone</t>
        </is>
      </c>
      <c r="E73" s="5" t="n">
        <v>45</v>
      </c>
      <c r="F73" s="5" t="n">
        <v>800</v>
      </c>
      <c r="G73" s="6" t="n">
        <v>36000</v>
      </c>
      <c r="H73" s="7" t="n">
        <v>0.28</v>
      </c>
    </row>
    <row r="74">
      <c r="A74" s="2" t="n">
        <v>1073</v>
      </c>
      <c r="B74" s="2" t="inlineStr">
        <is>
          <t>Apr</t>
        </is>
      </c>
      <c r="C74" s="2" t="inlineStr">
        <is>
          <t>East</t>
        </is>
      </c>
      <c r="D74" s="2" t="inlineStr">
        <is>
          <t>Tablet</t>
        </is>
      </c>
      <c r="E74" s="2" t="n">
        <v>68</v>
      </c>
      <c r="F74" s="2" t="n">
        <v>500</v>
      </c>
      <c r="G74" s="3" t="n">
        <v>34000</v>
      </c>
      <c r="H74" s="4" t="n">
        <v>0.25</v>
      </c>
    </row>
    <row r="75">
      <c r="A75" s="5" t="n">
        <v>1074</v>
      </c>
      <c r="B75" s="5" t="inlineStr">
        <is>
          <t>Apr</t>
        </is>
      </c>
      <c r="C75" s="5" t="inlineStr">
        <is>
          <t>East</t>
        </is>
      </c>
      <c r="D75" s="5" t="inlineStr">
        <is>
          <t>Monitor</t>
        </is>
      </c>
      <c r="E75" s="5" t="n">
        <v>91</v>
      </c>
      <c r="F75" s="5" t="n">
        <v>350</v>
      </c>
      <c r="G75" s="6" t="n">
        <v>31850</v>
      </c>
      <c r="H75" s="7" t="n">
        <v>0.2</v>
      </c>
    </row>
    <row r="76">
      <c r="A76" s="2" t="n">
        <v>1075</v>
      </c>
      <c r="B76" s="2" t="inlineStr">
        <is>
          <t>Apr</t>
        </is>
      </c>
      <c r="C76" s="2" t="inlineStr">
        <is>
          <t>East</t>
        </is>
      </c>
      <c r="D76" s="2" t="inlineStr">
        <is>
          <t>Keyboard</t>
        </is>
      </c>
      <c r="E76" s="2" t="n">
        <v>56</v>
      </c>
      <c r="F76" s="2" t="n">
        <v>100</v>
      </c>
      <c r="G76" s="3" t="n">
        <v>5600</v>
      </c>
      <c r="H76" s="4" t="n">
        <v>0.35</v>
      </c>
    </row>
    <row r="77">
      <c r="A77" s="5" t="n">
        <v>1076</v>
      </c>
      <c r="B77" s="5" t="inlineStr">
        <is>
          <t>Apr</t>
        </is>
      </c>
      <c r="C77" s="5" t="inlineStr">
        <is>
          <t>West</t>
        </is>
      </c>
      <c r="D77" s="5" t="inlineStr">
        <is>
          <t>Laptop</t>
        </is>
      </c>
      <c r="E77" s="5" t="n">
        <v>30</v>
      </c>
      <c r="F77" s="5" t="n">
        <v>1200</v>
      </c>
      <c r="G77" s="6" t="n">
        <v>36000</v>
      </c>
      <c r="H77" s="7" t="n">
        <v>0.22</v>
      </c>
    </row>
    <row r="78">
      <c r="A78" s="2" t="n">
        <v>1077</v>
      </c>
      <c r="B78" s="2" t="inlineStr">
        <is>
          <t>Apr</t>
        </is>
      </c>
      <c r="C78" s="2" t="inlineStr">
        <is>
          <t>West</t>
        </is>
      </c>
      <c r="D78" s="2" t="inlineStr">
        <is>
          <t>Smartphone</t>
        </is>
      </c>
      <c r="E78" s="2" t="n">
        <v>57</v>
      </c>
      <c r="F78" s="2" t="n">
        <v>800</v>
      </c>
      <c r="G78" s="3" t="n">
        <v>45600</v>
      </c>
      <c r="H78" s="4" t="n">
        <v>0.28</v>
      </c>
    </row>
    <row r="79">
      <c r="A79" s="5" t="n">
        <v>1078</v>
      </c>
      <c r="B79" s="5" t="inlineStr">
        <is>
          <t>Apr</t>
        </is>
      </c>
      <c r="C79" s="5" t="inlineStr">
        <is>
          <t>West</t>
        </is>
      </c>
      <c r="D79" s="5" t="inlineStr">
        <is>
          <t>Tablet</t>
        </is>
      </c>
      <c r="E79" s="5" t="n">
        <v>55</v>
      </c>
      <c r="F79" s="5" t="n">
        <v>500</v>
      </c>
      <c r="G79" s="6" t="n">
        <v>27500</v>
      </c>
      <c r="H79" s="7" t="n">
        <v>0.25</v>
      </c>
    </row>
    <row r="80">
      <c r="A80" s="2" t="n">
        <v>1079</v>
      </c>
      <c r="B80" s="2" t="inlineStr">
        <is>
          <t>Apr</t>
        </is>
      </c>
      <c r="C80" s="2" t="inlineStr">
        <is>
          <t>West</t>
        </is>
      </c>
      <c r="D80" s="2" t="inlineStr">
        <is>
          <t>Monitor</t>
        </is>
      </c>
      <c r="E80" s="2" t="n">
        <v>36</v>
      </c>
      <c r="F80" s="2" t="n">
        <v>350</v>
      </c>
      <c r="G80" s="3" t="n">
        <v>12600</v>
      </c>
      <c r="H80" s="4" t="n">
        <v>0.2</v>
      </c>
    </row>
    <row r="81">
      <c r="A81" s="5" t="n">
        <v>1080</v>
      </c>
      <c r="B81" s="5" t="inlineStr">
        <is>
          <t>Apr</t>
        </is>
      </c>
      <c r="C81" s="5" t="inlineStr">
        <is>
          <t>West</t>
        </is>
      </c>
      <c r="D81" s="5" t="inlineStr">
        <is>
          <t>Keyboard</t>
        </is>
      </c>
      <c r="E81" s="5" t="n">
        <v>95</v>
      </c>
      <c r="F81" s="5" t="n">
        <v>100</v>
      </c>
      <c r="G81" s="6" t="n">
        <v>9500</v>
      </c>
      <c r="H81" s="7" t="n">
        <v>0.35</v>
      </c>
    </row>
    <row r="82">
      <c r="A82" s="2" t="n">
        <v>1081</v>
      </c>
      <c r="B82" s="2" t="inlineStr">
        <is>
          <t>May</t>
        </is>
      </c>
      <c r="C82" s="2" t="inlineStr">
        <is>
          <t>North</t>
        </is>
      </c>
      <c r="D82" s="2" t="inlineStr">
        <is>
          <t>Laptop</t>
        </is>
      </c>
      <c r="E82" s="2" t="n">
        <v>44</v>
      </c>
      <c r="F82" s="2" t="n">
        <v>1200</v>
      </c>
      <c r="G82" s="3" t="n">
        <v>52800</v>
      </c>
      <c r="H82" s="4" t="n">
        <v>0.22</v>
      </c>
    </row>
    <row r="83">
      <c r="A83" s="5" t="n">
        <v>1082</v>
      </c>
      <c r="B83" s="5" t="inlineStr">
        <is>
          <t>May</t>
        </is>
      </c>
      <c r="C83" s="5" t="inlineStr">
        <is>
          <t>North</t>
        </is>
      </c>
      <c r="D83" s="5" t="inlineStr">
        <is>
          <t>Smartphone</t>
        </is>
      </c>
      <c r="E83" s="5" t="n">
        <v>99</v>
      </c>
      <c r="F83" s="5" t="n">
        <v>800</v>
      </c>
      <c r="G83" s="6" t="n">
        <v>79200</v>
      </c>
      <c r="H83" s="7" t="n">
        <v>0.28</v>
      </c>
    </row>
    <row r="84">
      <c r="A84" s="2" t="n">
        <v>1083</v>
      </c>
      <c r="B84" s="2" t="inlineStr">
        <is>
          <t>May</t>
        </is>
      </c>
      <c r="C84" s="2" t="inlineStr">
        <is>
          <t>North</t>
        </is>
      </c>
      <c r="D84" s="2" t="inlineStr">
        <is>
          <t>Tablet</t>
        </is>
      </c>
      <c r="E84" s="2" t="n">
        <v>97</v>
      </c>
      <c r="F84" s="2" t="n">
        <v>500</v>
      </c>
      <c r="G84" s="3" t="n">
        <v>48500</v>
      </c>
      <c r="H84" s="4" t="n">
        <v>0.25</v>
      </c>
    </row>
    <row r="85">
      <c r="A85" s="5" t="n">
        <v>1084</v>
      </c>
      <c r="B85" s="5" t="inlineStr">
        <is>
          <t>May</t>
        </is>
      </c>
      <c r="C85" s="5" t="inlineStr">
        <is>
          <t>North</t>
        </is>
      </c>
      <c r="D85" s="5" t="inlineStr">
        <is>
          <t>Monitor</t>
        </is>
      </c>
      <c r="E85" s="5" t="n">
        <v>92</v>
      </c>
      <c r="F85" s="5" t="n">
        <v>350</v>
      </c>
      <c r="G85" s="6" t="n">
        <v>32200</v>
      </c>
      <c r="H85" s="7" t="n">
        <v>0.2</v>
      </c>
    </row>
    <row r="86">
      <c r="A86" s="2" t="n">
        <v>1085</v>
      </c>
      <c r="B86" s="2" t="inlineStr">
        <is>
          <t>May</t>
        </is>
      </c>
      <c r="C86" s="2" t="inlineStr">
        <is>
          <t>North</t>
        </is>
      </c>
      <c r="D86" s="2" t="inlineStr">
        <is>
          <t>Keyboard</t>
        </is>
      </c>
      <c r="E86" s="2" t="n">
        <v>19</v>
      </c>
      <c r="F86" s="2" t="n">
        <v>100</v>
      </c>
      <c r="G86" s="3" t="n">
        <v>1900</v>
      </c>
      <c r="H86" s="4" t="n">
        <v>0.35</v>
      </c>
    </row>
    <row r="87">
      <c r="A87" s="5" t="n">
        <v>1086</v>
      </c>
      <c r="B87" s="5" t="inlineStr">
        <is>
          <t>May</t>
        </is>
      </c>
      <c r="C87" s="5" t="inlineStr">
        <is>
          <t>South</t>
        </is>
      </c>
      <c r="D87" s="5" t="inlineStr">
        <is>
          <t>Laptop</t>
        </is>
      </c>
      <c r="E87" s="5" t="n">
        <v>87</v>
      </c>
      <c r="F87" s="5" t="n">
        <v>1200</v>
      </c>
      <c r="G87" s="6" t="n">
        <v>104400</v>
      </c>
      <c r="H87" s="7" t="n">
        <v>0.22</v>
      </c>
    </row>
    <row r="88">
      <c r="A88" s="2" t="n">
        <v>1087</v>
      </c>
      <c r="B88" s="2" t="inlineStr">
        <is>
          <t>May</t>
        </is>
      </c>
      <c r="C88" s="2" t="inlineStr">
        <is>
          <t>South</t>
        </is>
      </c>
      <c r="D88" s="2" t="inlineStr">
        <is>
          <t>Smartphone</t>
        </is>
      </c>
      <c r="E88" s="2" t="n">
        <v>91</v>
      </c>
      <c r="F88" s="2" t="n">
        <v>800</v>
      </c>
      <c r="G88" s="3" t="n">
        <v>72800</v>
      </c>
      <c r="H88" s="4" t="n">
        <v>0.28</v>
      </c>
    </row>
    <row r="89">
      <c r="A89" s="5" t="n">
        <v>1088</v>
      </c>
      <c r="B89" s="5" t="inlineStr">
        <is>
          <t>May</t>
        </is>
      </c>
      <c r="C89" s="5" t="inlineStr">
        <is>
          <t>South</t>
        </is>
      </c>
      <c r="D89" s="5" t="inlineStr">
        <is>
          <t>Tablet</t>
        </is>
      </c>
      <c r="E89" s="5" t="n">
        <v>31</v>
      </c>
      <c r="F89" s="5" t="n">
        <v>500</v>
      </c>
      <c r="G89" s="6" t="n">
        <v>15500</v>
      </c>
      <c r="H89" s="7" t="n">
        <v>0.25</v>
      </c>
    </row>
    <row r="90">
      <c r="A90" s="2" t="n">
        <v>1089</v>
      </c>
      <c r="B90" s="2" t="inlineStr">
        <is>
          <t>May</t>
        </is>
      </c>
      <c r="C90" s="2" t="inlineStr">
        <is>
          <t>South</t>
        </is>
      </c>
      <c r="D90" s="2" t="inlineStr">
        <is>
          <t>Monitor</t>
        </is>
      </c>
      <c r="E90" s="2" t="n">
        <v>78</v>
      </c>
      <c r="F90" s="2" t="n">
        <v>350</v>
      </c>
      <c r="G90" s="3" t="n">
        <v>27300</v>
      </c>
      <c r="H90" s="4" t="n">
        <v>0.2</v>
      </c>
    </row>
    <row r="91">
      <c r="A91" s="5" t="n">
        <v>1090</v>
      </c>
      <c r="B91" s="5" t="inlineStr">
        <is>
          <t>May</t>
        </is>
      </c>
      <c r="C91" s="5" t="inlineStr">
        <is>
          <t>South</t>
        </is>
      </c>
      <c r="D91" s="5" t="inlineStr">
        <is>
          <t>Keyboard</t>
        </is>
      </c>
      <c r="E91" s="5" t="n">
        <v>41</v>
      </c>
      <c r="F91" s="5" t="n">
        <v>100</v>
      </c>
      <c r="G91" s="6" t="n">
        <v>4100</v>
      </c>
      <c r="H91" s="7" t="n">
        <v>0.35</v>
      </c>
    </row>
    <row r="92">
      <c r="A92" s="2" t="n">
        <v>1091</v>
      </c>
      <c r="B92" s="2" t="inlineStr">
        <is>
          <t>May</t>
        </is>
      </c>
      <c r="C92" s="2" t="inlineStr">
        <is>
          <t>East</t>
        </is>
      </c>
      <c r="D92" s="2" t="inlineStr">
        <is>
          <t>Laptop</t>
        </is>
      </c>
      <c r="E92" s="2" t="n">
        <v>30</v>
      </c>
      <c r="F92" s="2" t="n">
        <v>1200</v>
      </c>
      <c r="G92" s="3" t="n">
        <v>36000</v>
      </c>
      <c r="H92" s="4" t="n">
        <v>0.22</v>
      </c>
    </row>
    <row r="93">
      <c r="A93" s="5" t="n">
        <v>1092</v>
      </c>
      <c r="B93" s="5" t="inlineStr">
        <is>
          <t>May</t>
        </is>
      </c>
      <c r="C93" s="5" t="inlineStr">
        <is>
          <t>East</t>
        </is>
      </c>
      <c r="D93" s="5" t="inlineStr">
        <is>
          <t>Smartphone</t>
        </is>
      </c>
      <c r="E93" s="5" t="n">
        <v>69</v>
      </c>
      <c r="F93" s="5" t="n">
        <v>800</v>
      </c>
      <c r="G93" s="6" t="n">
        <v>55200</v>
      </c>
      <c r="H93" s="7" t="n">
        <v>0.28</v>
      </c>
    </row>
    <row r="94">
      <c r="A94" s="2" t="n">
        <v>1093</v>
      </c>
      <c r="B94" s="2" t="inlineStr">
        <is>
          <t>May</t>
        </is>
      </c>
      <c r="C94" s="2" t="inlineStr">
        <is>
          <t>East</t>
        </is>
      </c>
      <c r="D94" s="2" t="inlineStr">
        <is>
          <t>Tablet</t>
        </is>
      </c>
      <c r="E94" s="2" t="n">
        <v>58</v>
      </c>
      <c r="F94" s="2" t="n">
        <v>500</v>
      </c>
      <c r="G94" s="3" t="n">
        <v>29000</v>
      </c>
      <c r="H94" s="4" t="n">
        <v>0.25</v>
      </c>
    </row>
    <row r="95">
      <c r="A95" s="5" t="n">
        <v>1094</v>
      </c>
      <c r="B95" s="5" t="inlineStr">
        <is>
          <t>May</t>
        </is>
      </c>
      <c r="C95" s="5" t="inlineStr">
        <is>
          <t>East</t>
        </is>
      </c>
      <c r="D95" s="5" t="inlineStr">
        <is>
          <t>Monitor</t>
        </is>
      </c>
      <c r="E95" s="5" t="n">
        <v>44</v>
      </c>
      <c r="F95" s="5" t="n">
        <v>350</v>
      </c>
      <c r="G95" s="6" t="n">
        <v>15400</v>
      </c>
      <c r="H95" s="7" t="n">
        <v>0.2</v>
      </c>
    </row>
    <row r="96">
      <c r="A96" s="2" t="n">
        <v>1095</v>
      </c>
      <c r="B96" s="2" t="inlineStr">
        <is>
          <t>May</t>
        </is>
      </c>
      <c r="C96" s="2" t="inlineStr">
        <is>
          <t>East</t>
        </is>
      </c>
      <c r="D96" s="2" t="inlineStr">
        <is>
          <t>Keyboard</t>
        </is>
      </c>
      <c r="E96" s="2" t="n">
        <v>91</v>
      </c>
      <c r="F96" s="2" t="n">
        <v>100</v>
      </c>
      <c r="G96" s="3" t="n">
        <v>9100</v>
      </c>
      <c r="H96" s="4" t="n">
        <v>0.35</v>
      </c>
    </row>
    <row r="97">
      <c r="A97" s="5" t="n">
        <v>1096</v>
      </c>
      <c r="B97" s="5" t="inlineStr">
        <is>
          <t>May</t>
        </is>
      </c>
      <c r="C97" s="5" t="inlineStr">
        <is>
          <t>West</t>
        </is>
      </c>
      <c r="D97" s="5" t="inlineStr">
        <is>
          <t>Laptop</t>
        </is>
      </c>
      <c r="E97" s="5" t="n">
        <v>98</v>
      </c>
      <c r="F97" s="5" t="n">
        <v>1200</v>
      </c>
      <c r="G97" s="6" t="n">
        <v>117600</v>
      </c>
      <c r="H97" s="7" t="n">
        <v>0.22</v>
      </c>
    </row>
    <row r="98">
      <c r="A98" s="2" t="n">
        <v>1097</v>
      </c>
      <c r="B98" s="2" t="inlineStr">
        <is>
          <t>May</t>
        </is>
      </c>
      <c r="C98" s="2" t="inlineStr">
        <is>
          <t>West</t>
        </is>
      </c>
      <c r="D98" s="2" t="inlineStr">
        <is>
          <t>Smartphone</t>
        </is>
      </c>
      <c r="E98" s="2" t="n">
        <v>81</v>
      </c>
      <c r="F98" s="2" t="n">
        <v>800</v>
      </c>
      <c r="G98" s="3" t="n">
        <v>64800</v>
      </c>
      <c r="H98" s="4" t="n">
        <v>0.28</v>
      </c>
    </row>
    <row r="99">
      <c r="A99" s="5" t="n">
        <v>1098</v>
      </c>
      <c r="B99" s="5" t="inlineStr">
        <is>
          <t>May</t>
        </is>
      </c>
      <c r="C99" s="5" t="inlineStr">
        <is>
          <t>West</t>
        </is>
      </c>
      <c r="D99" s="5" t="inlineStr">
        <is>
          <t>Tablet</t>
        </is>
      </c>
      <c r="E99" s="5" t="n">
        <v>38</v>
      </c>
      <c r="F99" s="5" t="n">
        <v>500</v>
      </c>
      <c r="G99" s="6" t="n">
        <v>19000</v>
      </c>
      <c r="H99" s="7" t="n">
        <v>0.25</v>
      </c>
    </row>
    <row r="100">
      <c r="A100" s="2" t="n">
        <v>1099</v>
      </c>
      <c r="B100" s="2" t="inlineStr">
        <is>
          <t>May</t>
        </is>
      </c>
      <c r="C100" s="2" t="inlineStr">
        <is>
          <t>West</t>
        </is>
      </c>
      <c r="D100" s="2" t="inlineStr">
        <is>
          <t>Monitor</t>
        </is>
      </c>
      <c r="E100" s="2" t="n">
        <v>97</v>
      </c>
      <c r="F100" s="2" t="n">
        <v>350</v>
      </c>
      <c r="G100" s="3" t="n">
        <v>33950</v>
      </c>
      <c r="H100" s="4" t="n">
        <v>0.2</v>
      </c>
    </row>
    <row r="101">
      <c r="A101" s="5" t="n">
        <v>1100</v>
      </c>
      <c r="B101" s="5" t="inlineStr">
        <is>
          <t>May</t>
        </is>
      </c>
      <c r="C101" s="5" t="inlineStr">
        <is>
          <t>West</t>
        </is>
      </c>
      <c r="D101" s="5" t="inlineStr">
        <is>
          <t>Keyboard</t>
        </is>
      </c>
      <c r="E101" s="5" t="n">
        <v>51</v>
      </c>
      <c r="F101" s="5" t="n">
        <v>100</v>
      </c>
      <c r="G101" s="6" t="n">
        <v>5100</v>
      </c>
      <c r="H101" s="7" t="n">
        <v>0.35</v>
      </c>
    </row>
    <row r="102">
      <c r="A102" s="2" t="n">
        <v>1101</v>
      </c>
      <c r="B102" s="2" t="inlineStr">
        <is>
          <t>Jun</t>
        </is>
      </c>
      <c r="C102" s="2" t="inlineStr">
        <is>
          <t>North</t>
        </is>
      </c>
      <c r="D102" s="2" t="inlineStr">
        <is>
          <t>Laptop</t>
        </is>
      </c>
      <c r="E102" s="2" t="n">
        <v>17</v>
      </c>
      <c r="F102" s="2" t="n">
        <v>1200</v>
      </c>
      <c r="G102" s="3" t="n">
        <v>20400</v>
      </c>
      <c r="H102" s="4" t="n">
        <v>0.22</v>
      </c>
    </row>
    <row r="103">
      <c r="A103" s="5" t="n">
        <v>1102</v>
      </c>
      <c r="B103" s="5" t="inlineStr">
        <is>
          <t>Jun</t>
        </is>
      </c>
      <c r="C103" s="5" t="inlineStr">
        <is>
          <t>North</t>
        </is>
      </c>
      <c r="D103" s="5" t="inlineStr">
        <is>
          <t>Smartphone</t>
        </is>
      </c>
      <c r="E103" s="5" t="n">
        <v>39</v>
      </c>
      <c r="F103" s="5" t="n">
        <v>800</v>
      </c>
      <c r="G103" s="6" t="n">
        <v>31200</v>
      </c>
      <c r="H103" s="7" t="n">
        <v>0.28</v>
      </c>
    </row>
    <row r="104">
      <c r="A104" s="2" t="n">
        <v>1103</v>
      </c>
      <c r="B104" s="2" t="inlineStr">
        <is>
          <t>Jun</t>
        </is>
      </c>
      <c r="C104" s="2" t="inlineStr">
        <is>
          <t>North</t>
        </is>
      </c>
      <c r="D104" s="2" t="inlineStr">
        <is>
          <t>Tablet</t>
        </is>
      </c>
      <c r="E104" s="2" t="n">
        <v>14</v>
      </c>
      <c r="F104" s="2" t="n">
        <v>500</v>
      </c>
      <c r="G104" s="3" t="n">
        <v>7000</v>
      </c>
      <c r="H104" s="4" t="n">
        <v>0.25</v>
      </c>
    </row>
    <row r="105">
      <c r="A105" s="5" t="n">
        <v>1104</v>
      </c>
      <c r="B105" s="5" t="inlineStr">
        <is>
          <t>Jun</t>
        </is>
      </c>
      <c r="C105" s="5" t="inlineStr">
        <is>
          <t>North</t>
        </is>
      </c>
      <c r="D105" s="5" t="inlineStr">
        <is>
          <t>Monitor</t>
        </is>
      </c>
      <c r="E105" s="5" t="n">
        <v>50</v>
      </c>
      <c r="F105" s="5" t="n">
        <v>350</v>
      </c>
      <c r="G105" s="6" t="n">
        <v>17500</v>
      </c>
      <c r="H105" s="7" t="n">
        <v>0.2</v>
      </c>
    </row>
    <row r="106">
      <c r="A106" s="2" t="n">
        <v>1105</v>
      </c>
      <c r="B106" s="2" t="inlineStr">
        <is>
          <t>Jun</t>
        </is>
      </c>
      <c r="C106" s="2" t="inlineStr">
        <is>
          <t>North</t>
        </is>
      </c>
      <c r="D106" s="2" t="inlineStr">
        <is>
          <t>Keyboard</t>
        </is>
      </c>
      <c r="E106" s="2" t="n">
        <v>61</v>
      </c>
      <c r="F106" s="2" t="n">
        <v>100</v>
      </c>
      <c r="G106" s="3" t="n">
        <v>6100</v>
      </c>
      <c r="H106" s="4" t="n">
        <v>0.35</v>
      </c>
    </row>
    <row r="107">
      <c r="A107" s="5" t="n">
        <v>1106</v>
      </c>
      <c r="B107" s="5" t="inlineStr">
        <is>
          <t>Jun</t>
        </is>
      </c>
      <c r="C107" s="5" t="inlineStr">
        <is>
          <t>South</t>
        </is>
      </c>
      <c r="D107" s="5" t="inlineStr">
        <is>
          <t>Laptop</t>
        </is>
      </c>
      <c r="E107" s="5" t="n">
        <v>44</v>
      </c>
      <c r="F107" s="5" t="n">
        <v>1200</v>
      </c>
      <c r="G107" s="6" t="n">
        <v>52800</v>
      </c>
      <c r="H107" s="7" t="n">
        <v>0.22</v>
      </c>
    </row>
    <row r="108">
      <c r="A108" s="2" t="n">
        <v>1107</v>
      </c>
      <c r="B108" s="2" t="inlineStr">
        <is>
          <t>Jun</t>
        </is>
      </c>
      <c r="C108" s="2" t="inlineStr">
        <is>
          <t>South</t>
        </is>
      </c>
      <c r="D108" s="2" t="inlineStr">
        <is>
          <t>Smartphone</t>
        </is>
      </c>
      <c r="E108" s="2" t="n">
        <v>18</v>
      </c>
      <c r="F108" s="2" t="n">
        <v>800</v>
      </c>
      <c r="G108" s="3" t="n">
        <v>14400</v>
      </c>
      <c r="H108" s="4" t="n">
        <v>0.28</v>
      </c>
    </row>
    <row r="109">
      <c r="A109" s="5" t="n">
        <v>1108</v>
      </c>
      <c r="B109" s="5" t="inlineStr">
        <is>
          <t>Jun</t>
        </is>
      </c>
      <c r="C109" s="5" t="inlineStr">
        <is>
          <t>South</t>
        </is>
      </c>
      <c r="D109" s="5" t="inlineStr">
        <is>
          <t>Tablet</t>
        </is>
      </c>
      <c r="E109" s="5" t="n">
        <v>37</v>
      </c>
      <c r="F109" s="5" t="n">
        <v>500</v>
      </c>
      <c r="G109" s="6" t="n">
        <v>18500</v>
      </c>
      <c r="H109" s="7" t="n">
        <v>0.25</v>
      </c>
    </row>
    <row r="110">
      <c r="A110" s="2" t="n">
        <v>1109</v>
      </c>
      <c r="B110" s="2" t="inlineStr">
        <is>
          <t>Jun</t>
        </is>
      </c>
      <c r="C110" s="2" t="inlineStr">
        <is>
          <t>South</t>
        </is>
      </c>
      <c r="D110" s="2" t="inlineStr">
        <is>
          <t>Monitor</t>
        </is>
      </c>
      <c r="E110" s="2" t="n">
        <v>82</v>
      </c>
      <c r="F110" s="2" t="n">
        <v>350</v>
      </c>
      <c r="G110" s="3" t="n">
        <v>28700</v>
      </c>
      <c r="H110" s="4" t="n">
        <v>0.2</v>
      </c>
    </row>
    <row r="111">
      <c r="A111" s="5" t="n">
        <v>1110</v>
      </c>
      <c r="B111" s="5" t="inlineStr">
        <is>
          <t>Jun</t>
        </is>
      </c>
      <c r="C111" s="5" t="inlineStr">
        <is>
          <t>South</t>
        </is>
      </c>
      <c r="D111" s="5" t="inlineStr">
        <is>
          <t>Keyboard</t>
        </is>
      </c>
      <c r="E111" s="5" t="n">
        <v>50</v>
      </c>
      <c r="F111" s="5" t="n">
        <v>100</v>
      </c>
      <c r="G111" s="6" t="n">
        <v>5000</v>
      </c>
      <c r="H111" s="7" t="n">
        <v>0.35</v>
      </c>
    </row>
    <row r="112">
      <c r="A112" s="2" t="n">
        <v>1111</v>
      </c>
      <c r="B112" s="2" t="inlineStr">
        <is>
          <t>Jun</t>
        </is>
      </c>
      <c r="C112" s="2" t="inlineStr">
        <is>
          <t>East</t>
        </is>
      </c>
      <c r="D112" s="2" t="inlineStr">
        <is>
          <t>Laptop</t>
        </is>
      </c>
      <c r="E112" s="2" t="n">
        <v>37</v>
      </c>
      <c r="F112" s="2" t="n">
        <v>1200</v>
      </c>
      <c r="G112" s="3" t="n">
        <v>44400</v>
      </c>
      <c r="H112" s="4" t="n">
        <v>0.22</v>
      </c>
    </row>
    <row r="113">
      <c r="A113" s="5" t="n">
        <v>1112</v>
      </c>
      <c r="B113" s="5" t="inlineStr">
        <is>
          <t>Jun</t>
        </is>
      </c>
      <c r="C113" s="5" t="inlineStr">
        <is>
          <t>East</t>
        </is>
      </c>
      <c r="D113" s="5" t="inlineStr">
        <is>
          <t>Smartphone</t>
        </is>
      </c>
      <c r="E113" s="5" t="n">
        <v>93</v>
      </c>
      <c r="F113" s="5" t="n">
        <v>800</v>
      </c>
      <c r="G113" s="6" t="n">
        <v>74400</v>
      </c>
      <c r="H113" s="7" t="n">
        <v>0.28</v>
      </c>
    </row>
    <row r="114">
      <c r="A114" s="2" t="n">
        <v>1113</v>
      </c>
      <c r="B114" s="2" t="inlineStr">
        <is>
          <t>Jun</t>
        </is>
      </c>
      <c r="C114" s="2" t="inlineStr">
        <is>
          <t>East</t>
        </is>
      </c>
      <c r="D114" s="2" t="inlineStr">
        <is>
          <t>Tablet</t>
        </is>
      </c>
      <c r="E114" s="2" t="n">
        <v>73</v>
      </c>
      <c r="F114" s="2" t="n">
        <v>500</v>
      </c>
      <c r="G114" s="3" t="n">
        <v>36500</v>
      </c>
      <c r="H114" s="4" t="n">
        <v>0.25</v>
      </c>
    </row>
    <row r="115">
      <c r="A115" s="5" t="n">
        <v>1114</v>
      </c>
      <c r="B115" s="5" t="inlineStr">
        <is>
          <t>Jun</t>
        </is>
      </c>
      <c r="C115" s="5" t="inlineStr">
        <is>
          <t>East</t>
        </is>
      </c>
      <c r="D115" s="5" t="inlineStr">
        <is>
          <t>Monitor</t>
        </is>
      </c>
      <c r="E115" s="5" t="n">
        <v>60</v>
      </c>
      <c r="F115" s="5" t="n">
        <v>350</v>
      </c>
      <c r="G115" s="6" t="n">
        <v>21000</v>
      </c>
      <c r="H115" s="7" t="n">
        <v>0.2</v>
      </c>
    </row>
    <row r="116">
      <c r="A116" s="2" t="n">
        <v>1115</v>
      </c>
      <c r="B116" s="2" t="inlineStr">
        <is>
          <t>Jun</t>
        </is>
      </c>
      <c r="C116" s="2" t="inlineStr">
        <is>
          <t>East</t>
        </is>
      </c>
      <c r="D116" s="2" t="inlineStr">
        <is>
          <t>Keyboard</t>
        </is>
      </c>
      <c r="E116" s="2" t="n">
        <v>92</v>
      </c>
      <c r="F116" s="2" t="n">
        <v>100</v>
      </c>
      <c r="G116" s="3" t="n">
        <v>9200</v>
      </c>
      <c r="H116" s="4" t="n">
        <v>0.35</v>
      </c>
    </row>
    <row r="117">
      <c r="A117" s="5" t="n">
        <v>1116</v>
      </c>
      <c r="B117" s="5" t="inlineStr">
        <is>
          <t>Jun</t>
        </is>
      </c>
      <c r="C117" s="5" t="inlineStr">
        <is>
          <t>West</t>
        </is>
      </c>
      <c r="D117" s="5" t="inlineStr">
        <is>
          <t>Laptop</t>
        </is>
      </c>
      <c r="E117" s="5" t="n">
        <v>68</v>
      </c>
      <c r="F117" s="5" t="n">
        <v>1200</v>
      </c>
      <c r="G117" s="6" t="n">
        <v>81600</v>
      </c>
      <c r="H117" s="7" t="n">
        <v>0.22</v>
      </c>
    </row>
    <row r="118">
      <c r="A118" s="2" t="n">
        <v>1117</v>
      </c>
      <c r="B118" s="2" t="inlineStr">
        <is>
          <t>Jun</t>
        </is>
      </c>
      <c r="C118" s="2" t="inlineStr">
        <is>
          <t>West</t>
        </is>
      </c>
      <c r="D118" s="2" t="inlineStr">
        <is>
          <t>Smartphone</t>
        </is>
      </c>
      <c r="E118" s="2" t="n">
        <v>28</v>
      </c>
      <c r="F118" s="2" t="n">
        <v>800</v>
      </c>
      <c r="G118" s="3" t="n">
        <v>22400</v>
      </c>
      <c r="H118" s="4" t="n">
        <v>0.28</v>
      </c>
    </row>
    <row r="119">
      <c r="A119" s="5" t="n">
        <v>1118</v>
      </c>
      <c r="B119" s="5" t="inlineStr">
        <is>
          <t>Jun</t>
        </is>
      </c>
      <c r="C119" s="5" t="inlineStr">
        <is>
          <t>West</t>
        </is>
      </c>
      <c r="D119" s="5" t="inlineStr">
        <is>
          <t>Tablet</t>
        </is>
      </c>
      <c r="E119" s="5" t="n">
        <v>43</v>
      </c>
      <c r="F119" s="5" t="n">
        <v>500</v>
      </c>
      <c r="G119" s="6" t="n">
        <v>21500</v>
      </c>
      <c r="H119" s="7" t="n">
        <v>0.25</v>
      </c>
    </row>
    <row r="120">
      <c r="A120" s="2" t="n">
        <v>1119</v>
      </c>
      <c r="B120" s="2" t="inlineStr">
        <is>
          <t>Jun</t>
        </is>
      </c>
      <c r="C120" s="2" t="inlineStr">
        <is>
          <t>West</t>
        </is>
      </c>
      <c r="D120" s="2" t="inlineStr">
        <is>
          <t>Monitor</t>
        </is>
      </c>
      <c r="E120" s="2" t="n">
        <v>27</v>
      </c>
      <c r="F120" s="2" t="n">
        <v>350</v>
      </c>
      <c r="G120" s="3" t="n">
        <v>9450</v>
      </c>
      <c r="H120" s="4" t="n">
        <v>0.2</v>
      </c>
    </row>
    <row r="121">
      <c r="A121" s="5" t="n">
        <v>1120</v>
      </c>
      <c r="B121" s="5" t="inlineStr">
        <is>
          <t>Jun</t>
        </is>
      </c>
      <c r="C121" s="5" t="inlineStr">
        <is>
          <t>West</t>
        </is>
      </c>
      <c r="D121" s="5" t="inlineStr">
        <is>
          <t>Keyboard</t>
        </is>
      </c>
      <c r="E121" s="5" t="n">
        <v>41</v>
      </c>
      <c r="F121" s="5" t="n">
        <v>100</v>
      </c>
      <c r="G121" s="6" t="n">
        <v>4100</v>
      </c>
      <c r="H121" s="7" t="n">
        <v>0.35</v>
      </c>
    </row>
    <row r="122">
      <c r="A122" s="2" t="n">
        <v>1121</v>
      </c>
      <c r="B122" s="2" t="inlineStr">
        <is>
          <t>Jul</t>
        </is>
      </c>
      <c r="C122" s="2" t="inlineStr">
        <is>
          <t>North</t>
        </is>
      </c>
      <c r="D122" s="2" t="inlineStr">
        <is>
          <t>Laptop</t>
        </is>
      </c>
      <c r="E122" s="2" t="n">
        <v>81</v>
      </c>
      <c r="F122" s="2" t="n">
        <v>1200</v>
      </c>
      <c r="G122" s="3" t="n">
        <v>97200</v>
      </c>
      <c r="H122" s="4" t="n">
        <v>0.22</v>
      </c>
    </row>
    <row r="123">
      <c r="A123" s="5" t="n">
        <v>1122</v>
      </c>
      <c r="B123" s="5" t="inlineStr">
        <is>
          <t>Jul</t>
        </is>
      </c>
      <c r="C123" s="5" t="inlineStr">
        <is>
          <t>North</t>
        </is>
      </c>
      <c r="D123" s="5" t="inlineStr">
        <is>
          <t>Smartphone</t>
        </is>
      </c>
      <c r="E123" s="5" t="n">
        <v>78</v>
      </c>
      <c r="F123" s="5" t="n">
        <v>800</v>
      </c>
      <c r="G123" s="6" t="n">
        <v>62400</v>
      </c>
      <c r="H123" s="7" t="n">
        <v>0.28</v>
      </c>
    </row>
    <row r="124">
      <c r="A124" s="2" t="n">
        <v>1123</v>
      </c>
      <c r="B124" s="2" t="inlineStr">
        <is>
          <t>Jul</t>
        </is>
      </c>
      <c r="C124" s="2" t="inlineStr">
        <is>
          <t>North</t>
        </is>
      </c>
      <c r="D124" s="2" t="inlineStr">
        <is>
          <t>Tablet</t>
        </is>
      </c>
      <c r="E124" s="2" t="n">
        <v>43</v>
      </c>
      <c r="F124" s="2" t="n">
        <v>500</v>
      </c>
      <c r="G124" s="3" t="n">
        <v>21500</v>
      </c>
      <c r="H124" s="4" t="n">
        <v>0.25</v>
      </c>
    </row>
    <row r="125">
      <c r="A125" s="5" t="n">
        <v>1124</v>
      </c>
      <c r="B125" s="5" t="inlineStr">
        <is>
          <t>Jul</t>
        </is>
      </c>
      <c r="C125" s="5" t="inlineStr">
        <is>
          <t>North</t>
        </is>
      </c>
      <c r="D125" s="5" t="inlineStr">
        <is>
          <t>Monitor</t>
        </is>
      </c>
      <c r="E125" s="5" t="n">
        <v>84</v>
      </c>
      <c r="F125" s="5" t="n">
        <v>350</v>
      </c>
      <c r="G125" s="6" t="n">
        <v>29400</v>
      </c>
      <c r="H125" s="7" t="n">
        <v>0.2</v>
      </c>
    </row>
    <row r="126">
      <c r="A126" s="2" t="n">
        <v>1125</v>
      </c>
      <c r="B126" s="2" t="inlineStr">
        <is>
          <t>Jul</t>
        </is>
      </c>
      <c r="C126" s="2" t="inlineStr">
        <is>
          <t>North</t>
        </is>
      </c>
      <c r="D126" s="2" t="inlineStr">
        <is>
          <t>Keyboard</t>
        </is>
      </c>
      <c r="E126" s="2" t="n">
        <v>64</v>
      </c>
      <c r="F126" s="2" t="n">
        <v>100</v>
      </c>
      <c r="G126" s="3" t="n">
        <v>6400</v>
      </c>
      <c r="H126" s="4" t="n">
        <v>0.35</v>
      </c>
    </row>
    <row r="127">
      <c r="A127" s="5" t="n">
        <v>1126</v>
      </c>
      <c r="B127" s="5" t="inlineStr">
        <is>
          <t>Jul</t>
        </is>
      </c>
      <c r="C127" s="5" t="inlineStr">
        <is>
          <t>South</t>
        </is>
      </c>
      <c r="D127" s="5" t="inlineStr">
        <is>
          <t>Laptop</t>
        </is>
      </c>
      <c r="E127" s="5" t="n">
        <v>84</v>
      </c>
      <c r="F127" s="5" t="n">
        <v>1200</v>
      </c>
      <c r="G127" s="6" t="n">
        <v>100800</v>
      </c>
      <c r="H127" s="7" t="n">
        <v>0.22</v>
      </c>
    </row>
    <row r="128">
      <c r="A128" s="2" t="n">
        <v>1127</v>
      </c>
      <c r="B128" s="2" t="inlineStr">
        <is>
          <t>Jul</t>
        </is>
      </c>
      <c r="C128" s="2" t="inlineStr">
        <is>
          <t>South</t>
        </is>
      </c>
      <c r="D128" s="2" t="inlineStr">
        <is>
          <t>Smartphone</t>
        </is>
      </c>
      <c r="E128" s="2" t="n">
        <v>61</v>
      </c>
      <c r="F128" s="2" t="n">
        <v>800</v>
      </c>
      <c r="G128" s="3" t="n">
        <v>48800</v>
      </c>
      <c r="H128" s="4" t="n">
        <v>0.28</v>
      </c>
    </row>
    <row r="129">
      <c r="A129" s="5" t="n">
        <v>1128</v>
      </c>
      <c r="B129" s="5" t="inlineStr">
        <is>
          <t>Jul</t>
        </is>
      </c>
      <c r="C129" s="5" t="inlineStr">
        <is>
          <t>South</t>
        </is>
      </c>
      <c r="D129" s="5" t="inlineStr">
        <is>
          <t>Tablet</t>
        </is>
      </c>
      <c r="E129" s="5" t="n">
        <v>56</v>
      </c>
      <c r="F129" s="5" t="n">
        <v>500</v>
      </c>
      <c r="G129" s="6" t="n">
        <v>28000</v>
      </c>
      <c r="H129" s="7" t="n">
        <v>0.25</v>
      </c>
    </row>
    <row r="130">
      <c r="A130" s="2" t="n">
        <v>1129</v>
      </c>
      <c r="B130" s="2" t="inlineStr">
        <is>
          <t>Jul</t>
        </is>
      </c>
      <c r="C130" s="2" t="inlineStr">
        <is>
          <t>South</t>
        </is>
      </c>
      <c r="D130" s="2" t="inlineStr">
        <is>
          <t>Monitor</t>
        </is>
      </c>
      <c r="E130" s="2" t="n">
        <v>38</v>
      </c>
      <c r="F130" s="2" t="n">
        <v>350</v>
      </c>
      <c r="G130" s="3" t="n">
        <v>13300</v>
      </c>
      <c r="H130" s="4" t="n">
        <v>0.2</v>
      </c>
    </row>
    <row r="131">
      <c r="A131" s="5" t="n">
        <v>1130</v>
      </c>
      <c r="B131" s="5" t="inlineStr">
        <is>
          <t>Jul</t>
        </is>
      </c>
      <c r="C131" s="5" t="inlineStr">
        <is>
          <t>South</t>
        </is>
      </c>
      <c r="D131" s="5" t="inlineStr">
        <is>
          <t>Keyboard</t>
        </is>
      </c>
      <c r="E131" s="5" t="n">
        <v>27</v>
      </c>
      <c r="F131" s="5" t="n">
        <v>100</v>
      </c>
      <c r="G131" s="6" t="n">
        <v>2700</v>
      </c>
      <c r="H131" s="7" t="n">
        <v>0.35</v>
      </c>
    </row>
    <row r="132">
      <c r="A132" s="2" t="n">
        <v>1131</v>
      </c>
      <c r="B132" s="2" t="inlineStr">
        <is>
          <t>Jul</t>
        </is>
      </c>
      <c r="C132" s="2" t="inlineStr">
        <is>
          <t>East</t>
        </is>
      </c>
      <c r="D132" s="2" t="inlineStr">
        <is>
          <t>Laptop</t>
        </is>
      </c>
      <c r="E132" s="2" t="n">
        <v>75</v>
      </c>
      <c r="F132" s="2" t="n">
        <v>1200</v>
      </c>
      <c r="G132" s="3" t="n">
        <v>90000</v>
      </c>
      <c r="H132" s="4" t="n">
        <v>0.22</v>
      </c>
    </row>
    <row r="133">
      <c r="A133" s="5" t="n">
        <v>1132</v>
      </c>
      <c r="B133" s="5" t="inlineStr">
        <is>
          <t>Jul</t>
        </is>
      </c>
      <c r="C133" s="5" t="inlineStr">
        <is>
          <t>East</t>
        </is>
      </c>
      <c r="D133" s="5" t="inlineStr">
        <is>
          <t>Smartphone</t>
        </is>
      </c>
      <c r="E133" s="5" t="n">
        <v>73</v>
      </c>
      <c r="F133" s="5" t="n">
        <v>800</v>
      </c>
      <c r="G133" s="6" t="n">
        <v>58400</v>
      </c>
      <c r="H133" s="7" t="n">
        <v>0.28</v>
      </c>
    </row>
    <row r="134">
      <c r="A134" s="2" t="n">
        <v>1133</v>
      </c>
      <c r="B134" s="2" t="inlineStr">
        <is>
          <t>Jul</t>
        </is>
      </c>
      <c r="C134" s="2" t="inlineStr">
        <is>
          <t>East</t>
        </is>
      </c>
      <c r="D134" s="2" t="inlineStr">
        <is>
          <t>Tablet</t>
        </is>
      </c>
      <c r="E134" s="2" t="n">
        <v>21</v>
      </c>
      <c r="F134" s="2" t="n">
        <v>500</v>
      </c>
      <c r="G134" s="3" t="n">
        <v>10500</v>
      </c>
      <c r="H134" s="4" t="n">
        <v>0.25</v>
      </c>
    </row>
    <row r="135">
      <c r="A135" s="5" t="n">
        <v>1134</v>
      </c>
      <c r="B135" s="5" t="inlineStr">
        <is>
          <t>Jul</t>
        </is>
      </c>
      <c r="C135" s="5" t="inlineStr">
        <is>
          <t>East</t>
        </is>
      </c>
      <c r="D135" s="5" t="inlineStr">
        <is>
          <t>Monitor</t>
        </is>
      </c>
      <c r="E135" s="5" t="n">
        <v>16</v>
      </c>
      <c r="F135" s="5" t="n">
        <v>350</v>
      </c>
      <c r="G135" s="6" t="n">
        <v>5600</v>
      </c>
      <c r="H135" s="7" t="n">
        <v>0.2</v>
      </c>
    </row>
    <row r="136">
      <c r="A136" s="2" t="n">
        <v>1135</v>
      </c>
      <c r="B136" s="2" t="inlineStr">
        <is>
          <t>Jul</t>
        </is>
      </c>
      <c r="C136" s="2" t="inlineStr">
        <is>
          <t>East</t>
        </is>
      </c>
      <c r="D136" s="2" t="inlineStr">
        <is>
          <t>Keyboard</t>
        </is>
      </c>
      <c r="E136" s="2" t="n">
        <v>24</v>
      </c>
      <c r="F136" s="2" t="n">
        <v>100</v>
      </c>
      <c r="G136" s="3" t="n">
        <v>2400</v>
      </c>
      <c r="H136" s="4" t="n">
        <v>0.35</v>
      </c>
    </row>
    <row r="137">
      <c r="A137" s="5" t="n">
        <v>1136</v>
      </c>
      <c r="B137" s="5" t="inlineStr">
        <is>
          <t>Jul</t>
        </is>
      </c>
      <c r="C137" s="5" t="inlineStr">
        <is>
          <t>West</t>
        </is>
      </c>
      <c r="D137" s="5" t="inlineStr">
        <is>
          <t>Laptop</t>
        </is>
      </c>
      <c r="E137" s="5" t="n">
        <v>29</v>
      </c>
      <c r="F137" s="5" t="n">
        <v>1200</v>
      </c>
      <c r="G137" s="6" t="n">
        <v>34800</v>
      </c>
      <c r="H137" s="7" t="n">
        <v>0.22</v>
      </c>
    </row>
    <row r="138">
      <c r="A138" s="2" t="n">
        <v>1137</v>
      </c>
      <c r="B138" s="2" t="inlineStr">
        <is>
          <t>Jul</t>
        </is>
      </c>
      <c r="C138" s="2" t="inlineStr">
        <is>
          <t>West</t>
        </is>
      </c>
      <c r="D138" s="2" t="inlineStr">
        <is>
          <t>Smartphone</t>
        </is>
      </c>
      <c r="E138" s="2" t="n">
        <v>90</v>
      </c>
      <c r="F138" s="2" t="n">
        <v>800</v>
      </c>
      <c r="G138" s="3" t="n">
        <v>72000</v>
      </c>
      <c r="H138" s="4" t="n">
        <v>0.28</v>
      </c>
    </row>
    <row r="139">
      <c r="A139" s="5" t="n">
        <v>1138</v>
      </c>
      <c r="B139" s="5" t="inlineStr">
        <is>
          <t>Jul</t>
        </is>
      </c>
      <c r="C139" s="5" t="inlineStr">
        <is>
          <t>West</t>
        </is>
      </c>
      <c r="D139" s="5" t="inlineStr">
        <is>
          <t>Tablet</t>
        </is>
      </c>
      <c r="E139" s="5" t="n">
        <v>30</v>
      </c>
      <c r="F139" s="5" t="n">
        <v>500</v>
      </c>
      <c r="G139" s="6" t="n">
        <v>15000</v>
      </c>
      <c r="H139" s="7" t="n">
        <v>0.25</v>
      </c>
    </row>
    <row r="140">
      <c r="A140" s="2" t="n">
        <v>1139</v>
      </c>
      <c r="B140" s="2" t="inlineStr">
        <is>
          <t>Jul</t>
        </is>
      </c>
      <c r="C140" s="2" t="inlineStr">
        <is>
          <t>West</t>
        </is>
      </c>
      <c r="D140" s="2" t="inlineStr">
        <is>
          <t>Monitor</t>
        </is>
      </c>
      <c r="E140" s="2" t="n">
        <v>97</v>
      </c>
      <c r="F140" s="2" t="n">
        <v>350</v>
      </c>
      <c r="G140" s="3" t="n">
        <v>33950</v>
      </c>
      <c r="H140" s="4" t="n">
        <v>0.2</v>
      </c>
    </row>
    <row r="141">
      <c r="A141" s="5" t="n">
        <v>1140</v>
      </c>
      <c r="B141" s="5" t="inlineStr">
        <is>
          <t>Jul</t>
        </is>
      </c>
      <c r="C141" s="5" t="inlineStr">
        <is>
          <t>West</t>
        </is>
      </c>
      <c r="D141" s="5" t="inlineStr">
        <is>
          <t>Keyboard</t>
        </is>
      </c>
      <c r="E141" s="5" t="n">
        <v>64</v>
      </c>
      <c r="F141" s="5" t="n">
        <v>100</v>
      </c>
      <c r="G141" s="6" t="n">
        <v>6400</v>
      </c>
      <c r="H141" s="7" t="n">
        <v>0.35</v>
      </c>
    </row>
    <row r="142">
      <c r="A142" s="2" t="n">
        <v>1141</v>
      </c>
      <c r="B142" s="2" t="inlineStr">
        <is>
          <t>Aug</t>
        </is>
      </c>
      <c r="C142" s="2" t="inlineStr">
        <is>
          <t>North</t>
        </is>
      </c>
      <c r="D142" s="2" t="inlineStr">
        <is>
          <t>Laptop</t>
        </is>
      </c>
      <c r="E142" s="2" t="n">
        <v>86</v>
      </c>
      <c r="F142" s="2" t="n">
        <v>1200</v>
      </c>
      <c r="G142" s="3" t="n">
        <v>103200</v>
      </c>
      <c r="H142" s="4" t="n">
        <v>0.22</v>
      </c>
    </row>
    <row r="143">
      <c r="A143" s="5" t="n">
        <v>1142</v>
      </c>
      <c r="B143" s="5" t="inlineStr">
        <is>
          <t>Aug</t>
        </is>
      </c>
      <c r="C143" s="5" t="inlineStr">
        <is>
          <t>North</t>
        </is>
      </c>
      <c r="D143" s="5" t="inlineStr">
        <is>
          <t>Smartphone</t>
        </is>
      </c>
      <c r="E143" s="5" t="n">
        <v>18</v>
      </c>
      <c r="F143" s="5" t="n">
        <v>800</v>
      </c>
      <c r="G143" s="6" t="n">
        <v>14400</v>
      </c>
      <c r="H143" s="7" t="n">
        <v>0.28</v>
      </c>
    </row>
    <row r="144">
      <c r="A144" s="2" t="n">
        <v>1143</v>
      </c>
      <c r="B144" s="2" t="inlineStr">
        <is>
          <t>Aug</t>
        </is>
      </c>
      <c r="C144" s="2" t="inlineStr">
        <is>
          <t>North</t>
        </is>
      </c>
      <c r="D144" s="2" t="inlineStr">
        <is>
          <t>Tablet</t>
        </is>
      </c>
      <c r="E144" s="2" t="n">
        <v>59</v>
      </c>
      <c r="F144" s="2" t="n">
        <v>500</v>
      </c>
      <c r="G144" s="3" t="n">
        <v>29500</v>
      </c>
      <c r="H144" s="4" t="n">
        <v>0.25</v>
      </c>
    </row>
    <row r="145">
      <c r="A145" s="5" t="n">
        <v>1144</v>
      </c>
      <c r="B145" s="5" t="inlineStr">
        <is>
          <t>Aug</t>
        </is>
      </c>
      <c r="C145" s="5" t="inlineStr">
        <is>
          <t>North</t>
        </is>
      </c>
      <c r="D145" s="5" t="inlineStr">
        <is>
          <t>Monitor</t>
        </is>
      </c>
      <c r="E145" s="5" t="n">
        <v>58</v>
      </c>
      <c r="F145" s="5" t="n">
        <v>350</v>
      </c>
      <c r="G145" s="6" t="n">
        <v>20300</v>
      </c>
      <c r="H145" s="7" t="n">
        <v>0.2</v>
      </c>
    </row>
    <row r="146">
      <c r="A146" s="2" t="n">
        <v>1145</v>
      </c>
      <c r="B146" s="2" t="inlineStr">
        <is>
          <t>Aug</t>
        </is>
      </c>
      <c r="C146" s="2" t="inlineStr">
        <is>
          <t>North</t>
        </is>
      </c>
      <c r="D146" s="2" t="inlineStr">
        <is>
          <t>Keyboard</t>
        </is>
      </c>
      <c r="E146" s="2" t="n">
        <v>86</v>
      </c>
      <c r="F146" s="2" t="n">
        <v>100</v>
      </c>
      <c r="G146" s="3" t="n">
        <v>8600</v>
      </c>
      <c r="H146" s="4" t="n">
        <v>0.35</v>
      </c>
    </row>
    <row r="147">
      <c r="A147" s="5" t="n">
        <v>1146</v>
      </c>
      <c r="B147" s="5" t="inlineStr">
        <is>
          <t>Aug</t>
        </is>
      </c>
      <c r="C147" s="5" t="inlineStr">
        <is>
          <t>South</t>
        </is>
      </c>
      <c r="D147" s="5" t="inlineStr">
        <is>
          <t>Laptop</t>
        </is>
      </c>
      <c r="E147" s="5" t="n">
        <v>69</v>
      </c>
      <c r="F147" s="5" t="n">
        <v>1200</v>
      </c>
      <c r="G147" s="6" t="n">
        <v>82800</v>
      </c>
      <c r="H147" s="7" t="n">
        <v>0.22</v>
      </c>
    </row>
    <row r="148">
      <c r="A148" s="2" t="n">
        <v>1147</v>
      </c>
      <c r="B148" s="2" t="inlineStr">
        <is>
          <t>Aug</t>
        </is>
      </c>
      <c r="C148" s="2" t="inlineStr">
        <is>
          <t>South</t>
        </is>
      </c>
      <c r="D148" s="2" t="inlineStr">
        <is>
          <t>Smartphone</t>
        </is>
      </c>
      <c r="E148" s="2" t="n">
        <v>77</v>
      </c>
      <c r="F148" s="2" t="n">
        <v>800</v>
      </c>
      <c r="G148" s="3" t="n">
        <v>61600</v>
      </c>
      <c r="H148" s="4" t="n">
        <v>0.28</v>
      </c>
    </row>
    <row r="149">
      <c r="A149" s="5" t="n">
        <v>1148</v>
      </c>
      <c r="B149" s="5" t="inlineStr">
        <is>
          <t>Aug</t>
        </is>
      </c>
      <c r="C149" s="5" t="inlineStr">
        <is>
          <t>South</t>
        </is>
      </c>
      <c r="D149" s="5" t="inlineStr">
        <is>
          <t>Tablet</t>
        </is>
      </c>
      <c r="E149" s="5" t="n">
        <v>42</v>
      </c>
      <c r="F149" s="5" t="n">
        <v>500</v>
      </c>
      <c r="G149" s="6" t="n">
        <v>21000</v>
      </c>
      <c r="H149" s="7" t="n">
        <v>0.25</v>
      </c>
    </row>
    <row r="150">
      <c r="A150" s="2" t="n">
        <v>1149</v>
      </c>
      <c r="B150" s="2" t="inlineStr">
        <is>
          <t>Aug</t>
        </is>
      </c>
      <c r="C150" s="2" t="inlineStr">
        <is>
          <t>South</t>
        </is>
      </c>
      <c r="D150" s="2" t="inlineStr">
        <is>
          <t>Monitor</t>
        </is>
      </c>
      <c r="E150" s="2" t="n">
        <v>80</v>
      </c>
      <c r="F150" s="2" t="n">
        <v>350</v>
      </c>
      <c r="G150" s="3" t="n">
        <v>28000</v>
      </c>
      <c r="H150" s="4" t="n">
        <v>0.2</v>
      </c>
    </row>
    <row r="151">
      <c r="A151" s="5" t="n">
        <v>1150</v>
      </c>
      <c r="B151" s="5" t="inlineStr">
        <is>
          <t>Aug</t>
        </is>
      </c>
      <c r="C151" s="5" t="inlineStr">
        <is>
          <t>South</t>
        </is>
      </c>
      <c r="D151" s="5" t="inlineStr">
        <is>
          <t>Keyboard</t>
        </is>
      </c>
      <c r="E151" s="5" t="n">
        <v>11</v>
      </c>
      <c r="F151" s="5" t="n">
        <v>100</v>
      </c>
      <c r="G151" s="6" t="n">
        <v>1100</v>
      </c>
      <c r="H151" s="7" t="n">
        <v>0.35</v>
      </c>
    </row>
    <row r="152">
      <c r="A152" s="2" t="n">
        <v>1151</v>
      </c>
      <c r="B152" s="2" t="inlineStr">
        <is>
          <t>Aug</t>
        </is>
      </c>
      <c r="C152" s="2" t="inlineStr">
        <is>
          <t>East</t>
        </is>
      </c>
      <c r="D152" s="2" t="inlineStr">
        <is>
          <t>Laptop</t>
        </is>
      </c>
      <c r="E152" s="2" t="n">
        <v>97</v>
      </c>
      <c r="F152" s="2" t="n">
        <v>1200</v>
      </c>
      <c r="G152" s="3" t="n">
        <v>116400</v>
      </c>
      <c r="H152" s="4" t="n">
        <v>0.22</v>
      </c>
    </row>
    <row r="153">
      <c r="A153" s="5" t="n">
        <v>1152</v>
      </c>
      <c r="B153" s="5" t="inlineStr">
        <is>
          <t>Aug</t>
        </is>
      </c>
      <c r="C153" s="5" t="inlineStr">
        <is>
          <t>East</t>
        </is>
      </c>
      <c r="D153" s="5" t="inlineStr">
        <is>
          <t>Smartphone</t>
        </is>
      </c>
      <c r="E153" s="5" t="n">
        <v>24</v>
      </c>
      <c r="F153" s="5" t="n">
        <v>800</v>
      </c>
      <c r="G153" s="6" t="n">
        <v>19200</v>
      </c>
      <c r="H153" s="7" t="n">
        <v>0.28</v>
      </c>
    </row>
    <row r="154">
      <c r="A154" s="2" t="n">
        <v>1153</v>
      </c>
      <c r="B154" s="2" t="inlineStr">
        <is>
          <t>Aug</t>
        </is>
      </c>
      <c r="C154" s="2" t="inlineStr">
        <is>
          <t>East</t>
        </is>
      </c>
      <c r="D154" s="2" t="inlineStr">
        <is>
          <t>Tablet</t>
        </is>
      </c>
      <c r="E154" s="2" t="n">
        <v>97</v>
      </c>
      <c r="F154" s="2" t="n">
        <v>500</v>
      </c>
      <c r="G154" s="3" t="n">
        <v>48500</v>
      </c>
      <c r="H154" s="4" t="n">
        <v>0.25</v>
      </c>
    </row>
    <row r="155">
      <c r="A155" s="5" t="n">
        <v>1154</v>
      </c>
      <c r="B155" s="5" t="inlineStr">
        <is>
          <t>Aug</t>
        </is>
      </c>
      <c r="C155" s="5" t="inlineStr">
        <is>
          <t>East</t>
        </is>
      </c>
      <c r="D155" s="5" t="inlineStr">
        <is>
          <t>Monitor</t>
        </is>
      </c>
      <c r="E155" s="5" t="n">
        <v>78</v>
      </c>
      <c r="F155" s="5" t="n">
        <v>350</v>
      </c>
      <c r="G155" s="6" t="n">
        <v>27300</v>
      </c>
      <c r="H155" s="7" t="n">
        <v>0.2</v>
      </c>
    </row>
    <row r="156">
      <c r="A156" s="2" t="n">
        <v>1155</v>
      </c>
      <c r="B156" s="2" t="inlineStr">
        <is>
          <t>Aug</t>
        </is>
      </c>
      <c r="C156" s="2" t="inlineStr">
        <is>
          <t>East</t>
        </is>
      </c>
      <c r="D156" s="2" t="inlineStr">
        <is>
          <t>Keyboard</t>
        </is>
      </c>
      <c r="E156" s="2" t="n">
        <v>44</v>
      </c>
      <c r="F156" s="2" t="n">
        <v>100</v>
      </c>
      <c r="G156" s="3" t="n">
        <v>4400</v>
      </c>
      <c r="H156" s="4" t="n">
        <v>0.35</v>
      </c>
    </row>
    <row r="157">
      <c r="A157" s="5" t="n">
        <v>1156</v>
      </c>
      <c r="B157" s="5" t="inlineStr">
        <is>
          <t>Aug</t>
        </is>
      </c>
      <c r="C157" s="5" t="inlineStr">
        <is>
          <t>West</t>
        </is>
      </c>
      <c r="D157" s="5" t="inlineStr">
        <is>
          <t>Laptop</t>
        </is>
      </c>
      <c r="E157" s="5" t="n">
        <v>92</v>
      </c>
      <c r="F157" s="5" t="n">
        <v>1200</v>
      </c>
      <c r="G157" s="6" t="n">
        <v>110400</v>
      </c>
      <c r="H157" s="7" t="n">
        <v>0.22</v>
      </c>
    </row>
    <row r="158">
      <c r="A158" s="2" t="n">
        <v>1157</v>
      </c>
      <c r="B158" s="2" t="inlineStr">
        <is>
          <t>Aug</t>
        </is>
      </c>
      <c r="C158" s="2" t="inlineStr">
        <is>
          <t>West</t>
        </is>
      </c>
      <c r="D158" s="2" t="inlineStr">
        <is>
          <t>Smartphone</t>
        </is>
      </c>
      <c r="E158" s="2" t="n">
        <v>53</v>
      </c>
      <c r="F158" s="2" t="n">
        <v>800</v>
      </c>
      <c r="G158" s="3" t="n">
        <v>42400</v>
      </c>
      <c r="H158" s="4" t="n">
        <v>0.28</v>
      </c>
    </row>
    <row r="159">
      <c r="A159" s="5" t="n">
        <v>1158</v>
      </c>
      <c r="B159" s="5" t="inlineStr">
        <is>
          <t>Aug</t>
        </is>
      </c>
      <c r="C159" s="5" t="inlineStr">
        <is>
          <t>West</t>
        </is>
      </c>
      <c r="D159" s="5" t="inlineStr">
        <is>
          <t>Tablet</t>
        </is>
      </c>
      <c r="E159" s="5" t="n">
        <v>24</v>
      </c>
      <c r="F159" s="5" t="n">
        <v>500</v>
      </c>
      <c r="G159" s="6" t="n">
        <v>12000</v>
      </c>
      <c r="H159" s="7" t="n">
        <v>0.25</v>
      </c>
    </row>
    <row r="160">
      <c r="A160" s="2" t="n">
        <v>1159</v>
      </c>
      <c r="B160" s="2" t="inlineStr">
        <is>
          <t>Aug</t>
        </is>
      </c>
      <c r="C160" s="2" t="inlineStr">
        <is>
          <t>West</t>
        </is>
      </c>
      <c r="D160" s="2" t="inlineStr">
        <is>
          <t>Monitor</t>
        </is>
      </c>
      <c r="E160" s="2" t="n">
        <v>47</v>
      </c>
      <c r="F160" s="2" t="n">
        <v>350</v>
      </c>
      <c r="G160" s="3" t="n">
        <v>16450</v>
      </c>
      <c r="H160" s="4" t="n">
        <v>0.2</v>
      </c>
    </row>
    <row r="161">
      <c r="A161" s="5" t="n">
        <v>1160</v>
      </c>
      <c r="B161" s="5" t="inlineStr">
        <is>
          <t>Aug</t>
        </is>
      </c>
      <c r="C161" s="5" t="inlineStr">
        <is>
          <t>West</t>
        </is>
      </c>
      <c r="D161" s="5" t="inlineStr">
        <is>
          <t>Keyboard</t>
        </is>
      </c>
      <c r="E161" s="5" t="n">
        <v>65</v>
      </c>
      <c r="F161" s="5" t="n">
        <v>100</v>
      </c>
      <c r="G161" s="6" t="n">
        <v>6500</v>
      </c>
      <c r="H161" s="7" t="n">
        <v>0.35</v>
      </c>
    </row>
    <row r="162">
      <c r="A162" s="2" t="n">
        <v>1161</v>
      </c>
      <c r="B162" s="2" t="inlineStr">
        <is>
          <t>Sep</t>
        </is>
      </c>
      <c r="C162" s="2" t="inlineStr">
        <is>
          <t>North</t>
        </is>
      </c>
      <c r="D162" s="2" t="inlineStr">
        <is>
          <t>Laptop</t>
        </is>
      </c>
      <c r="E162" s="2" t="n">
        <v>30</v>
      </c>
      <c r="F162" s="2" t="n">
        <v>1200</v>
      </c>
      <c r="G162" s="3" t="n">
        <v>36000</v>
      </c>
      <c r="H162" s="4" t="n">
        <v>0.22</v>
      </c>
    </row>
    <row r="163">
      <c r="A163" s="5" t="n">
        <v>1162</v>
      </c>
      <c r="B163" s="5" t="inlineStr">
        <is>
          <t>Sep</t>
        </is>
      </c>
      <c r="C163" s="5" t="inlineStr">
        <is>
          <t>North</t>
        </is>
      </c>
      <c r="D163" s="5" t="inlineStr">
        <is>
          <t>Smartphone</t>
        </is>
      </c>
      <c r="E163" s="5" t="n">
        <v>68</v>
      </c>
      <c r="F163" s="5" t="n">
        <v>800</v>
      </c>
      <c r="G163" s="6" t="n">
        <v>54400</v>
      </c>
      <c r="H163" s="7" t="n">
        <v>0.28</v>
      </c>
    </row>
    <row r="164">
      <c r="A164" s="2" t="n">
        <v>1163</v>
      </c>
      <c r="B164" s="2" t="inlineStr">
        <is>
          <t>Sep</t>
        </is>
      </c>
      <c r="C164" s="2" t="inlineStr">
        <is>
          <t>North</t>
        </is>
      </c>
      <c r="D164" s="2" t="inlineStr">
        <is>
          <t>Tablet</t>
        </is>
      </c>
      <c r="E164" s="2" t="n">
        <v>10</v>
      </c>
      <c r="F164" s="2" t="n">
        <v>500</v>
      </c>
      <c r="G164" s="3" t="n">
        <v>5000</v>
      </c>
      <c r="H164" s="4" t="n">
        <v>0.25</v>
      </c>
    </row>
    <row r="165">
      <c r="A165" s="5" t="n">
        <v>1164</v>
      </c>
      <c r="B165" s="5" t="inlineStr">
        <is>
          <t>Sep</t>
        </is>
      </c>
      <c r="C165" s="5" t="inlineStr">
        <is>
          <t>North</t>
        </is>
      </c>
      <c r="D165" s="5" t="inlineStr">
        <is>
          <t>Monitor</t>
        </is>
      </c>
      <c r="E165" s="5" t="n">
        <v>43</v>
      </c>
      <c r="F165" s="5" t="n">
        <v>350</v>
      </c>
      <c r="G165" s="6" t="n">
        <v>15050</v>
      </c>
      <c r="H165" s="7" t="n">
        <v>0.2</v>
      </c>
    </row>
    <row r="166">
      <c r="A166" s="2" t="n">
        <v>1165</v>
      </c>
      <c r="B166" s="2" t="inlineStr">
        <is>
          <t>Sep</t>
        </is>
      </c>
      <c r="C166" s="2" t="inlineStr">
        <is>
          <t>North</t>
        </is>
      </c>
      <c r="D166" s="2" t="inlineStr">
        <is>
          <t>Keyboard</t>
        </is>
      </c>
      <c r="E166" s="2" t="n">
        <v>74</v>
      </c>
      <c r="F166" s="2" t="n">
        <v>100</v>
      </c>
      <c r="G166" s="3" t="n">
        <v>7400</v>
      </c>
      <c r="H166" s="4" t="n">
        <v>0.35</v>
      </c>
    </row>
    <row r="167">
      <c r="A167" s="5" t="n">
        <v>1166</v>
      </c>
      <c r="B167" s="5" t="inlineStr">
        <is>
          <t>Sep</t>
        </is>
      </c>
      <c r="C167" s="5" t="inlineStr">
        <is>
          <t>South</t>
        </is>
      </c>
      <c r="D167" s="5" t="inlineStr">
        <is>
          <t>Laptop</t>
        </is>
      </c>
      <c r="E167" s="5" t="n">
        <v>32</v>
      </c>
      <c r="F167" s="5" t="n">
        <v>1200</v>
      </c>
      <c r="G167" s="6" t="n">
        <v>38400</v>
      </c>
      <c r="H167" s="7" t="n">
        <v>0.22</v>
      </c>
    </row>
    <row r="168">
      <c r="A168" s="2" t="n">
        <v>1167</v>
      </c>
      <c r="B168" s="2" t="inlineStr">
        <is>
          <t>Sep</t>
        </is>
      </c>
      <c r="C168" s="2" t="inlineStr">
        <is>
          <t>South</t>
        </is>
      </c>
      <c r="D168" s="2" t="inlineStr">
        <is>
          <t>Smartphone</t>
        </is>
      </c>
      <c r="E168" s="2" t="n">
        <v>74</v>
      </c>
      <c r="F168" s="2" t="n">
        <v>800</v>
      </c>
      <c r="G168" s="3" t="n">
        <v>59200</v>
      </c>
      <c r="H168" s="4" t="n">
        <v>0.28</v>
      </c>
    </row>
    <row r="169">
      <c r="A169" s="5" t="n">
        <v>1168</v>
      </c>
      <c r="B169" s="5" t="inlineStr">
        <is>
          <t>Sep</t>
        </is>
      </c>
      <c r="C169" s="5" t="inlineStr">
        <is>
          <t>South</t>
        </is>
      </c>
      <c r="D169" s="5" t="inlineStr">
        <is>
          <t>Tablet</t>
        </is>
      </c>
      <c r="E169" s="5" t="n">
        <v>23</v>
      </c>
      <c r="F169" s="5" t="n">
        <v>500</v>
      </c>
      <c r="G169" s="6" t="n">
        <v>11500</v>
      </c>
      <c r="H169" s="7" t="n">
        <v>0.25</v>
      </c>
    </row>
    <row r="170">
      <c r="A170" s="2" t="n">
        <v>1169</v>
      </c>
      <c r="B170" s="2" t="inlineStr">
        <is>
          <t>Sep</t>
        </is>
      </c>
      <c r="C170" s="2" t="inlineStr">
        <is>
          <t>South</t>
        </is>
      </c>
      <c r="D170" s="2" t="inlineStr">
        <is>
          <t>Monitor</t>
        </is>
      </c>
      <c r="E170" s="2" t="n">
        <v>90</v>
      </c>
      <c r="F170" s="2" t="n">
        <v>350</v>
      </c>
      <c r="G170" s="3" t="n">
        <v>31500</v>
      </c>
      <c r="H170" s="4" t="n">
        <v>0.2</v>
      </c>
    </row>
    <row r="171">
      <c r="A171" s="5" t="n">
        <v>1170</v>
      </c>
      <c r="B171" s="5" t="inlineStr">
        <is>
          <t>Sep</t>
        </is>
      </c>
      <c r="C171" s="5" t="inlineStr">
        <is>
          <t>South</t>
        </is>
      </c>
      <c r="D171" s="5" t="inlineStr">
        <is>
          <t>Keyboard</t>
        </is>
      </c>
      <c r="E171" s="5" t="n">
        <v>48</v>
      </c>
      <c r="F171" s="5" t="n">
        <v>100</v>
      </c>
      <c r="G171" s="6" t="n">
        <v>4800</v>
      </c>
      <c r="H171" s="7" t="n">
        <v>0.35</v>
      </c>
    </row>
    <row r="172">
      <c r="A172" s="2" t="n">
        <v>1171</v>
      </c>
      <c r="B172" s="2" t="inlineStr">
        <is>
          <t>Sep</t>
        </is>
      </c>
      <c r="C172" s="2" t="inlineStr">
        <is>
          <t>East</t>
        </is>
      </c>
      <c r="D172" s="2" t="inlineStr">
        <is>
          <t>Laptop</t>
        </is>
      </c>
      <c r="E172" s="2" t="n">
        <v>91</v>
      </c>
      <c r="F172" s="2" t="n">
        <v>1200</v>
      </c>
      <c r="G172" s="3" t="n">
        <v>109200</v>
      </c>
      <c r="H172" s="4" t="n">
        <v>0.22</v>
      </c>
    </row>
    <row r="173">
      <c r="A173" s="5" t="n">
        <v>1172</v>
      </c>
      <c r="B173" s="5" t="inlineStr">
        <is>
          <t>Sep</t>
        </is>
      </c>
      <c r="C173" s="5" t="inlineStr">
        <is>
          <t>East</t>
        </is>
      </c>
      <c r="D173" s="5" t="inlineStr">
        <is>
          <t>Smartphone</t>
        </is>
      </c>
      <c r="E173" s="5" t="n">
        <v>74</v>
      </c>
      <c r="F173" s="5" t="n">
        <v>800</v>
      </c>
      <c r="G173" s="6" t="n">
        <v>59200</v>
      </c>
      <c r="H173" s="7" t="n">
        <v>0.28</v>
      </c>
    </row>
    <row r="174">
      <c r="A174" s="2" t="n">
        <v>1173</v>
      </c>
      <c r="B174" s="2" t="inlineStr">
        <is>
          <t>Sep</t>
        </is>
      </c>
      <c r="C174" s="2" t="inlineStr">
        <is>
          <t>East</t>
        </is>
      </c>
      <c r="D174" s="2" t="inlineStr">
        <is>
          <t>Tablet</t>
        </is>
      </c>
      <c r="E174" s="2" t="n">
        <v>87</v>
      </c>
      <c r="F174" s="2" t="n">
        <v>500</v>
      </c>
      <c r="G174" s="3" t="n">
        <v>43500</v>
      </c>
      <c r="H174" s="4" t="n">
        <v>0.25</v>
      </c>
    </row>
    <row r="175">
      <c r="A175" s="5" t="n">
        <v>1174</v>
      </c>
      <c r="B175" s="5" t="inlineStr">
        <is>
          <t>Sep</t>
        </is>
      </c>
      <c r="C175" s="5" t="inlineStr">
        <is>
          <t>East</t>
        </is>
      </c>
      <c r="D175" s="5" t="inlineStr">
        <is>
          <t>Monitor</t>
        </is>
      </c>
      <c r="E175" s="5" t="n">
        <v>35</v>
      </c>
      <c r="F175" s="5" t="n">
        <v>350</v>
      </c>
      <c r="G175" s="6" t="n">
        <v>12250</v>
      </c>
      <c r="H175" s="7" t="n">
        <v>0.2</v>
      </c>
    </row>
    <row r="176">
      <c r="A176" s="2" t="n">
        <v>1175</v>
      </c>
      <c r="B176" s="2" t="inlineStr">
        <is>
          <t>Sep</t>
        </is>
      </c>
      <c r="C176" s="2" t="inlineStr">
        <is>
          <t>East</t>
        </is>
      </c>
      <c r="D176" s="2" t="inlineStr">
        <is>
          <t>Keyboard</t>
        </is>
      </c>
      <c r="E176" s="2" t="n">
        <v>29</v>
      </c>
      <c r="F176" s="2" t="n">
        <v>100</v>
      </c>
      <c r="G176" s="3" t="n">
        <v>2900</v>
      </c>
      <c r="H176" s="4" t="n">
        <v>0.35</v>
      </c>
    </row>
    <row r="177">
      <c r="A177" s="5" t="n">
        <v>1176</v>
      </c>
      <c r="B177" s="5" t="inlineStr">
        <is>
          <t>Sep</t>
        </is>
      </c>
      <c r="C177" s="5" t="inlineStr">
        <is>
          <t>West</t>
        </is>
      </c>
      <c r="D177" s="5" t="inlineStr">
        <is>
          <t>Laptop</t>
        </is>
      </c>
      <c r="E177" s="5" t="n">
        <v>57</v>
      </c>
      <c r="F177" s="5" t="n">
        <v>1200</v>
      </c>
      <c r="G177" s="6" t="n">
        <v>68400</v>
      </c>
      <c r="H177" s="7" t="n">
        <v>0.22</v>
      </c>
    </row>
    <row r="178">
      <c r="A178" s="2" t="n">
        <v>1177</v>
      </c>
      <c r="B178" s="2" t="inlineStr">
        <is>
          <t>Sep</t>
        </is>
      </c>
      <c r="C178" s="2" t="inlineStr">
        <is>
          <t>West</t>
        </is>
      </c>
      <c r="D178" s="2" t="inlineStr">
        <is>
          <t>Smartphone</t>
        </is>
      </c>
      <c r="E178" s="2" t="n">
        <v>30</v>
      </c>
      <c r="F178" s="2" t="n">
        <v>800</v>
      </c>
      <c r="G178" s="3" t="n">
        <v>24000</v>
      </c>
      <c r="H178" s="4" t="n">
        <v>0.28</v>
      </c>
    </row>
    <row r="179">
      <c r="A179" s="5" t="n">
        <v>1178</v>
      </c>
      <c r="B179" s="5" t="inlineStr">
        <is>
          <t>Sep</t>
        </is>
      </c>
      <c r="C179" s="5" t="inlineStr">
        <is>
          <t>West</t>
        </is>
      </c>
      <c r="D179" s="5" t="inlineStr">
        <is>
          <t>Tablet</t>
        </is>
      </c>
      <c r="E179" s="5" t="n">
        <v>79</v>
      </c>
      <c r="F179" s="5" t="n">
        <v>500</v>
      </c>
      <c r="G179" s="6" t="n">
        <v>39500</v>
      </c>
      <c r="H179" s="7" t="n">
        <v>0.25</v>
      </c>
    </row>
    <row r="180">
      <c r="A180" s="2" t="n">
        <v>1179</v>
      </c>
      <c r="B180" s="2" t="inlineStr">
        <is>
          <t>Sep</t>
        </is>
      </c>
      <c r="C180" s="2" t="inlineStr">
        <is>
          <t>West</t>
        </is>
      </c>
      <c r="D180" s="2" t="inlineStr">
        <is>
          <t>Monitor</t>
        </is>
      </c>
      <c r="E180" s="2" t="n">
        <v>77</v>
      </c>
      <c r="F180" s="2" t="n">
        <v>350</v>
      </c>
      <c r="G180" s="3" t="n">
        <v>26950</v>
      </c>
      <c r="H180" s="4" t="n">
        <v>0.2</v>
      </c>
    </row>
    <row r="181">
      <c r="A181" s="5" t="n">
        <v>1180</v>
      </c>
      <c r="B181" s="5" t="inlineStr">
        <is>
          <t>Sep</t>
        </is>
      </c>
      <c r="C181" s="5" t="inlineStr">
        <is>
          <t>West</t>
        </is>
      </c>
      <c r="D181" s="5" t="inlineStr">
        <is>
          <t>Keyboard</t>
        </is>
      </c>
      <c r="E181" s="5" t="n">
        <v>10</v>
      </c>
      <c r="F181" s="5" t="n">
        <v>100</v>
      </c>
      <c r="G181" s="6" t="n">
        <v>1000</v>
      </c>
      <c r="H181" s="7" t="n">
        <v>0.35</v>
      </c>
    </row>
    <row r="182">
      <c r="A182" s="2" t="n">
        <v>1181</v>
      </c>
      <c r="B182" s="2" t="inlineStr">
        <is>
          <t>Oct</t>
        </is>
      </c>
      <c r="C182" s="2" t="inlineStr">
        <is>
          <t>North</t>
        </is>
      </c>
      <c r="D182" s="2" t="inlineStr">
        <is>
          <t>Laptop</t>
        </is>
      </c>
      <c r="E182" s="2" t="n">
        <v>86</v>
      </c>
      <c r="F182" s="2" t="n">
        <v>1200</v>
      </c>
      <c r="G182" s="3" t="n">
        <v>103200</v>
      </c>
      <c r="H182" s="4" t="n">
        <v>0.22</v>
      </c>
    </row>
    <row r="183">
      <c r="A183" s="5" t="n">
        <v>1182</v>
      </c>
      <c r="B183" s="5" t="inlineStr">
        <is>
          <t>Oct</t>
        </is>
      </c>
      <c r="C183" s="5" t="inlineStr">
        <is>
          <t>North</t>
        </is>
      </c>
      <c r="D183" s="5" t="inlineStr">
        <is>
          <t>Smartphone</t>
        </is>
      </c>
      <c r="E183" s="5" t="n">
        <v>51</v>
      </c>
      <c r="F183" s="5" t="n">
        <v>800</v>
      </c>
      <c r="G183" s="6" t="n">
        <v>40800</v>
      </c>
      <c r="H183" s="7" t="n">
        <v>0.28</v>
      </c>
    </row>
    <row r="184">
      <c r="A184" s="2" t="n">
        <v>1183</v>
      </c>
      <c r="B184" s="2" t="inlineStr">
        <is>
          <t>Oct</t>
        </is>
      </c>
      <c r="C184" s="2" t="inlineStr">
        <is>
          <t>North</t>
        </is>
      </c>
      <c r="D184" s="2" t="inlineStr">
        <is>
          <t>Tablet</t>
        </is>
      </c>
      <c r="E184" s="2" t="n">
        <v>72</v>
      </c>
      <c r="F184" s="2" t="n">
        <v>500</v>
      </c>
      <c r="G184" s="3" t="n">
        <v>36000</v>
      </c>
      <c r="H184" s="4" t="n">
        <v>0.25</v>
      </c>
    </row>
    <row r="185">
      <c r="A185" s="5" t="n">
        <v>1184</v>
      </c>
      <c r="B185" s="5" t="inlineStr">
        <is>
          <t>Oct</t>
        </is>
      </c>
      <c r="C185" s="5" t="inlineStr">
        <is>
          <t>North</t>
        </is>
      </c>
      <c r="D185" s="5" t="inlineStr">
        <is>
          <t>Monitor</t>
        </is>
      </c>
      <c r="E185" s="5" t="n">
        <v>12</v>
      </c>
      <c r="F185" s="5" t="n">
        <v>350</v>
      </c>
      <c r="G185" s="6" t="n">
        <v>4200</v>
      </c>
      <c r="H185" s="7" t="n">
        <v>0.2</v>
      </c>
    </row>
    <row r="186">
      <c r="A186" s="2" t="n">
        <v>1185</v>
      </c>
      <c r="B186" s="2" t="inlineStr">
        <is>
          <t>Oct</t>
        </is>
      </c>
      <c r="C186" s="2" t="inlineStr">
        <is>
          <t>North</t>
        </is>
      </c>
      <c r="D186" s="2" t="inlineStr">
        <is>
          <t>Keyboard</t>
        </is>
      </c>
      <c r="E186" s="2" t="n">
        <v>24</v>
      </c>
      <c r="F186" s="2" t="n">
        <v>100</v>
      </c>
      <c r="G186" s="3" t="n">
        <v>2400</v>
      </c>
      <c r="H186" s="4" t="n">
        <v>0.35</v>
      </c>
    </row>
    <row r="187">
      <c r="A187" s="5" t="n">
        <v>1186</v>
      </c>
      <c r="B187" s="5" t="inlineStr">
        <is>
          <t>Oct</t>
        </is>
      </c>
      <c r="C187" s="5" t="inlineStr">
        <is>
          <t>South</t>
        </is>
      </c>
      <c r="D187" s="5" t="inlineStr">
        <is>
          <t>Laptop</t>
        </is>
      </c>
      <c r="E187" s="5" t="n">
        <v>56</v>
      </c>
      <c r="F187" s="5" t="n">
        <v>1200</v>
      </c>
      <c r="G187" s="6" t="n">
        <v>67200</v>
      </c>
      <c r="H187" s="7" t="n">
        <v>0.22</v>
      </c>
    </row>
    <row r="188">
      <c r="A188" s="2" t="n">
        <v>1187</v>
      </c>
      <c r="B188" s="2" t="inlineStr">
        <is>
          <t>Oct</t>
        </is>
      </c>
      <c r="C188" s="2" t="inlineStr">
        <is>
          <t>South</t>
        </is>
      </c>
      <c r="D188" s="2" t="inlineStr">
        <is>
          <t>Smartphone</t>
        </is>
      </c>
      <c r="E188" s="2" t="n">
        <v>49</v>
      </c>
      <c r="F188" s="2" t="n">
        <v>800</v>
      </c>
      <c r="G188" s="3" t="n">
        <v>39200</v>
      </c>
      <c r="H188" s="4" t="n">
        <v>0.28</v>
      </c>
    </row>
    <row r="189">
      <c r="A189" s="5" t="n">
        <v>1188</v>
      </c>
      <c r="B189" s="5" t="inlineStr">
        <is>
          <t>Oct</t>
        </is>
      </c>
      <c r="C189" s="5" t="inlineStr">
        <is>
          <t>South</t>
        </is>
      </c>
      <c r="D189" s="5" t="inlineStr">
        <is>
          <t>Tablet</t>
        </is>
      </c>
      <c r="E189" s="5" t="n">
        <v>40</v>
      </c>
      <c r="F189" s="5" t="n">
        <v>500</v>
      </c>
      <c r="G189" s="6" t="n">
        <v>20000</v>
      </c>
      <c r="H189" s="7" t="n">
        <v>0.25</v>
      </c>
    </row>
    <row r="190">
      <c r="A190" s="2" t="n">
        <v>1189</v>
      </c>
      <c r="B190" s="2" t="inlineStr">
        <is>
          <t>Oct</t>
        </is>
      </c>
      <c r="C190" s="2" t="inlineStr">
        <is>
          <t>South</t>
        </is>
      </c>
      <c r="D190" s="2" t="inlineStr">
        <is>
          <t>Monitor</t>
        </is>
      </c>
      <c r="E190" s="2" t="n">
        <v>17</v>
      </c>
      <c r="F190" s="2" t="n">
        <v>350</v>
      </c>
      <c r="G190" s="3" t="n">
        <v>5950</v>
      </c>
      <c r="H190" s="4" t="n">
        <v>0.2</v>
      </c>
    </row>
    <row r="191">
      <c r="A191" s="5" t="n">
        <v>1190</v>
      </c>
      <c r="B191" s="5" t="inlineStr">
        <is>
          <t>Oct</t>
        </is>
      </c>
      <c r="C191" s="5" t="inlineStr">
        <is>
          <t>South</t>
        </is>
      </c>
      <c r="D191" s="5" t="inlineStr">
        <is>
          <t>Keyboard</t>
        </is>
      </c>
      <c r="E191" s="5" t="n">
        <v>40</v>
      </c>
      <c r="F191" s="5" t="n">
        <v>100</v>
      </c>
      <c r="G191" s="6" t="n">
        <v>4000</v>
      </c>
      <c r="H191" s="7" t="n">
        <v>0.35</v>
      </c>
    </row>
    <row r="192">
      <c r="A192" s="2" t="n">
        <v>1191</v>
      </c>
      <c r="B192" s="2" t="inlineStr">
        <is>
          <t>Oct</t>
        </is>
      </c>
      <c r="C192" s="2" t="inlineStr">
        <is>
          <t>East</t>
        </is>
      </c>
      <c r="D192" s="2" t="inlineStr">
        <is>
          <t>Laptop</t>
        </is>
      </c>
      <c r="E192" s="2" t="n">
        <v>82</v>
      </c>
      <c r="F192" s="2" t="n">
        <v>1200</v>
      </c>
      <c r="G192" s="3" t="n">
        <v>98400</v>
      </c>
      <c r="H192" s="4" t="n">
        <v>0.22</v>
      </c>
    </row>
    <row r="193">
      <c r="A193" s="5" t="n">
        <v>1192</v>
      </c>
      <c r="B193" s="5" t="inlineStr">
        <is>
          <t>Oct</t>
        </is>
      </c>
      <c r="C193" s="5" t="inlineStr">
        <is>
          <t>East</t>
        </is>
      </c>
      <c r="D193" s="5" t="inlineStr">
        <is>
          <t>Smartphone</t>
        </is>
      </c>
      <c r="E193" s="5" t="n">
        <v>20</v>
      </c>
      <c r="F193" s="5" t="n">
        <v>800</v>
      </c>
      <c r="G193" s="6" t="n">
        <v>16000</v>
      </c>
      <c r="H193" s="7" t="n">
        <v>0.28</v>
      </c>
    </row>
    <row r="194">
      <c r="A194" s="2" t="n">
        <v>1193</v>
      </c>
      <c r="B194" s="2" t="inlineStr">
        <is>
          <t>Oct</t>
        </is>
      </c>
      <c r="C194" s="2" t="inlineStr">
        <is>
          <t>East</t>
        </is>
      </c>
      <c r="D194" s="2" t="inlineStr">
        <is>
          <t>Tablet</t>
        </is>
      </c>
      <c r="E194" s="2" t="n">
        <v>20</v>
      </c>
      <c r="F194" s="2" t="n">
        <v>500</v>
      </c>
      <c r="G194" s="3" t="n">
        <v>10000</v>
      </c>
      <c r="H194" s="4" t="n">
        <v>0.25</v>
      </c>
    </row>
    <row r="195">
      <c r="A195" s="5" t="n">
        <v>1194</v>
      </c>
      <c r="B195" s="5" t="inlineStr">
        <is>
          <t>Oct</t>
        </is>
      </c>
      <c r="C195" s="5" t="inlineStr">
        <is>
          <t>East</t>
        </is>
      </c>
      <c r="D195" s="5" t="inlineStr">
        <is>
          <t>Monitor</t>
        </is>
      </c>
      <c r="E195" s="5" t="n">
        <v>72</v>
      </c>
      <c r="F195" s="5" t="n">
        <v>350</v>
      </c>
      <c r="G195" s="6" t="n">
        <v>25200</v>
      </c>
      <c r="H195" s="7" t="n">
        <v>0.2</v>
      </c>
    </row>
    <row r="196">
      <c r="A196" s="2" t="n">
        <v>1195</v>
      </c>
      <c r="B196" s="2" t="inlineStr">
        <is>
          <t>Oct</t>
        </is>
      </c>
      <c r="C196" s="2" t="inlineStr">
        <is>
          <t>East</t>
        </is>
      </c>
      <c r="D196" s="2" t="inlineStr">
        <is>
          <t>Keyboard</t>
        </is>
      </c>
      <c r="E196" s="2" t="n">
        <v>18</v>
      </c>
      <c r="F196" s="2" t="n">
        <v>100</v>
      </c>
      <c r="G196" s="3" t="n">
        <v>1800</v>
      </c>
      <c r="H196" s="4" t="n">
        <v>0.35</v>
      </c>
    </row>
    <row r="197">
      <c r="A197" s="5" t="n">
        <v>1196</v>
      </c>
      <c r="B197" s="5" t="inlineStr">
        <is>
          <t>Oct</t>
        </is>
      </c>
      <c r="C197" s="5" t="inlineStr">
        <is>
          <t>West</t>
        </is>
      </c>
      <c r="D197" s="5" t="inlineStr">
        <is>
          <t>Laptop</t>
        </is>
      </c>
      <c r="E197" s="5" t="n">
        <v>78</v>
      </c>
      <c r="F197" s="5" t="n">
        <v>1200</v>
      </c>
      <c r="G197" s="6" t="n">
        <v>93600</v>
      </c>
      <c r="H197" s="7" t="n">
        <v>0.22</v>
      </c>
    </row>
    <row r="198">
      <c r="A198" s="2" t="n">
        <v>1197</v>
      </c>
      <c r="B198" s="2" t="inlineStr">
        <is>
          <t>Oct</t>
        </is>
      </c>
      <c r="C198" s="2" t="inlineStr">
        <is>
          <t>West</t>
        </is>
      </c>
      <c r="D198" s="2" t="inlineStr">
        <is>
          <t>Smartphone</t>
        </is>
      </c>
      <c r="E198" s="2" t="n">
        <v>26</v>
      </c>
      <c r="F198" s="2" t="n">
        <v>800</v>
      </c>
      <c r="G198" s="3" t="n">
        <v>20800</v>
      </c>
      <c r="H198" s="4" t="n">
        <v>0.28</v>
      </c>
    </row>
    <row r="199">
      <c r="A199" s="5" t="n">
        <v>1198</v>
      </c>
      <c r="B199" s="5" t="inlineStr">
        <is>
          <t>Oct</t>
        </is>
      </c>
      <c r="C199" s="5" t="inlineStr">
        <is>
          <t>West</t>
        </is>
      </c>
      <c r="D199" s="5" t="inlineStr">
        <is>
          <t>Tablet</t>
        </is>
      </c>
      <c r="E199" s="5" t="n">
        <v>26</v>
      </c>
      <c r="F199" s="5" t="n">
        <v>500</v>
      </c>
      <c r="G199" s="6" t="n">
        <v>13000</v>
      </c>
      <c r="H199" s="7" t="n">
        <v>0.25</v>
      </c>
    </row>
    <row r="200">
      <c r="A200" s="2" t="n">
        <v>1199</v>
      </c>
      <c r="B200" s="2" t="inlineStr">
        <is>
          <t>Oct</t>
        </is>
      </c>
      <c r="C200" s="2" t="inlineStr">
        <is>
          <t>West</t>
        </is>
      </c>
      <c r="D200" s="2" t="inlineStr">
        <is>
          <t>Monitor</t>
        </is>
      </c>
      <c r="E200" s="2" t="n">
        <v>94</v>
      </c>
      <c r="F200" s="2" t="n">
        <v>350</v>
      </c>
      <c r="G200" s="3" t="n">
        <v>32900</v>
      </c>
      <c r="H200" s="4" t="n">
        <v>0.2</v>
      </c>
    </row>
    <row r="201">
      <c r="A201" s="5" t="n">
        <v>1200</v>
      </c>
      <c r="B201" s="5" t="inlineStr">
        <is>
          <t>Oct</t>
        </is>
      </c>
      <c r="C201" s="5" t="inlineStr">
        <is>
          <t>West</t>
        </is>
      </c>
      <c r="D201" s="5" t="inlineStr">
        <is>
          <t>Keyboard</t>
        </is>
      </c>
      <c r="E201" s="5" t="n">
        <v>70</v>
      </c>
      <c r="F201" s="5" t="n">
        <v>100</v>
      </c>
      <c r="G201" s="6" t="n">
        <v>7000</v>
      </c>
      <c r="H201" s="7" t="n">
        <v>0.35</v>
      </c>
    </row>
    <row r="202">
      <c r="A202" s="2" t="n">
        <v>1201</v>
      </c>
      <c r="B202" s="2" t="inlineStr">
        <is>
          <t>Nov</t>
        </is>
      </c>
      <c r="C202" s="2" t="inlineStr">
        <is>
          <t>North</t>
        </is>
      </c>
      <c r="D202" s="2" t="inlineStr">
        <is>
          <t>Laptop</t>
        </is>
      </c>
      <c r="E202" s="2" t="n">
        <v>80</v>
      </c>
      <c r="F202" s="2" t="n">
        <v>1200</v>
      </c>
      <c r="G202" s="3" t="n">
        <v>96000</v>
      </c>
      <c r="H202" s="4" t="n">
        <v>0.22</v>
      </c>
    </row>
    <row r="203">
      <c r="A203" s="5" t="n">
        <v>1202</v>
      </c>
      <c r="B203" s="5" t="inlineStr">
        <is>
          <t>Nov</t>
        </is>
      </c>
      <c r="C203" s="5" t="inlineStr">
        <is>
          <t>North</t>
        </is>
      </c>
      <c r="D203" s="5" t="inlineStr">
        <is>
          <t>Smartphone</t>
        </is>
      </c>
      <c r="E203" s="5" t="n">
        <v>31</v>
      </c>
      <c r="F203" s="5" t="n">
        <v>800</v>
      </c>
      <c r="G203" s="6" t="n">
        <v>24800</v>
      </c>
      <c r="H203" s="7" t="n">
        <v>0.28</v>
      </c>
    </row>
    <row r="204">
      <c r="A204" s="2" t="n">
        <v>1203</v>
      </c>
      <c r="B204" s="2" t="inlineStr">
        <is>
          <t>Nov</t>
        </is>
      </c>
      <c r="C204" s="2" t="inlineStr">
        <is>
          <t>North</t>
        </is>
      </c>
      <c r="D204" s="2" t="inlineStr">
        <is>
          <t>Tablet</t>
        </is>
      </c>
      <c r="E204" s="2" t="n">
        <v>43</v>
      </c>
      <c r="F204" s="2" t="n">
        <v>500</v>
      </c>
      <c r="G204" s="3" t="n">
        <v>21500</v>
      </c>
      <c r="H204" s="4" t="n">
        <v>0.25</v>
      </c>
    </row>
    <row r="205">
      <c r="A205" s="5" t="n">
        <v>1204</v>
      </c>
      <c r="B205" s="5" t="inlineStr">
        <is>
          <t>Nov</t>
        </is>
      </c>
      <c r="C205" s="5" t="inlineStr">
        <is>
          <t>North</t>
        </is>
      </c>
      <c r="D205" s="5" t="inlineStr">
        <is>
          <t>Monitor</t>
        </is>
      </c>
      <c r="E205" s="5" t="n">
        <v>77</v>
      </c>
      <c r="F205" s="5" t="n">
        <v>350</v>
      </c>
      <c r="G205" s="6" t="n">
        <v>26950</v>
      </c>
      <c r="H205" s="7" t="n">
        <v>0.2</v>
      </c>
    </row>
    <row r="206">
      <c r="A206" s="2" t="n">
        <v>1205</v>
      </c>
      <c r="B206" s="2" t="inlineStr">
        <is>
          <t>Nov</t>
        </is>
      </c>
      <c r="C206" s="2" t="inlineStr">
        <is>
          <t>North</t>
        </is>
      </c>
      <c r="D206" s="2" t="inlineStr">
        <is>
          <t>Keyboard</t>
        </is>
      </c>
      <c r="E206" s="2" t="n">
        <v>87</v>
      </c>
      <c r="F206" s="2" t="n">
        <v>100</v>
      </c>
      <c r="G206" s="3" t="n">
        <v>8700</v>
      </c>
      <c r="H206" s="4" t="n">
        <v>0.35</v>
      </c>
    </row>
    <row r="207">
      <c r="A207" s="5" t="n">
        <v>1206</v>
      </c>
      <c r="B207" s="5" t="inlineStr">
        <is>
          <t>Nov</t>
        </is>
      </c>
      <c r="C207" s="5" t="inlineStr">
        <is>
          <t>South</t>
        </is>
      </c>
      <c r="D207" s="5" t="inlineStr">
        <is>
          <t>Laptop</t>
        </is>
      </c>
      <c r="E207" s="5" t="n">
        <v>64</v>
      </c>
      <c r="F207" s="5" t="n">
        <v>1200</v>
      </c>
      <c r="G207" s="6" t="n">
        <v>76800</v>
      </c>
      <c r="H207" s="7" t="n">
        <v>0.22</v>
      </c>
    </row>
    <row r="208">
      <c r="A208" s="2" t="n">
        <v>1207</v>
      </c>
      <c r="B208" s="2" t="inlineStr">
        <is>
          <t>Nov</t>
        </is>
      </c>
      <c r="C208" s="2" t="inlineStr">
        <is>
          <t>South</t>
        </is>
      </c>
      <c r="D208" s="2" t="inlineStr">
        <is>
          <t>Smartphone</t>
        </is>
      </c>
      <c r="E208" s="2" t="n">
        <v>37</v>
      </c>
      <c r="F208" s="2" t="n">
        <v>800</v>
      </c>
      <c r="G208" s="3" t="n">
        <v>29600</v>
      </c>
      <c r="H208" s="4" t="n">
        <v>0.28</v>
      </c>
    </row>
    <row r="209">
      <c r="A209" s="5" t="n">
        <v>1208</v>
      </c>
      <c r="B209" s="5" t="inlineStr">
        <is>
          <t>Nov</t>
        </is>
      </c>
      <c r="C209" s="5" t="inlineStr">
        <is>
          <t>South</t>
        </is>
      </c>
      <c r="D209" s="5" t="inlineStr">
        <is>
          <t>Tablet</t>
        </is>
      </c>
      <c r="E209" s="5" t="n">
        <v>79</v>
      </c>
      <c r="F209" s="5" t="n">
        <v>500</v>
      </c>
      <c r="G209" s="6" t="n">
        <v>39500</v>
      </c>
      <c r="H209" s="7" t="n">
        <v>0.25</v>
      </c>
    </row>
    <row r="210">
      <c r="A210" s="2" t="n">
        <v>1209</v>
      </c>
      <c r="B210" s="2" t="inlineStr">
        <is>
          <t>Nov</t>
        </is>
      </c>
      <c r="C210" s="2" t="inlineStr">
        <is>
          <t>South</t>
        </is>
      </c>
      <c r="D210" s="2" t="inlineStr">
        <is>
          <t>Monitor</t>
        </is>
      </c>
      <c r="E210" s="2" t="n">
        <v>98</v>
      </c>
      <c r="F210" s="2" t="n">
        <v>350</v>
      </c>
      <c r="G210" s="3" t="n">
        <v>34300</v>
      </c>
      <c r="H210" s="4" t="n">
        <v>0.2</v>
      </c>
    </row>
    <row r="211">
      <c r="A211" s="5" t="n">
        <v>1210</v>
      </c>
      <c r="B211" s="5" t="inlineStr">
        <is>
          <t>Nov</t>
        </is>
      </c>
      <c r="C211" s="5" t="inlineStr">
        <is>
          <t>South</t>
        </is>
      </c>
      <c r="D211" s="5" t="inlineStr">
        <is>
          <t>Keyboard</t>
        </is>
      </c>
      <c r="E211" s="5" t="n">
        <v>35</v>
      </c>
      <c r="F211" s="5" t="n">
        <v>100</v>
      </c>
      <c r="G211" s="6" t="n">
        <v>3500</v>
      </c>
      <c r="H211" s="7" t="n">
        <v>0.35</v>
      </c>
    </row>
    <row r="212">
      <c r="A212" s="2" t="n">
        <v>1211</v>
      </c>
      <c r="B212" s="2" t="inlineStr">
        <is>
          <t>Nov</t>
        </is>
      </c>
      <c r="C212" s="2" t="inlineStr">
        <is>
          <t>East</t>
        </is>
      </c>
      <c r="D212" s="2" t="inlineStr">
        <is>
          <t>Laptop</t>
        </is>
      </c>
      <c r="E212" s="2" t="n">
        <v>49</v>
      </c>
      <c r="F212" s="2" t="n">
        <v>1200</v>
      </c>
      <c r="G212" s="3" t="n">
        <v>58800</v>
      </c>
      <c r="H212" s="4" t="n">
        <v>0.22</v>
      </c>
    </row>
    <row r="213">
      <c r="A213" s="5" t="n">
        <v>1212</v>
      </c>
      <c r="B213" s="5" t="inlineStr">
        <is>
          <t>Nov</t>
        </is>
      </c>
      <c r="C213" s="5" t="inlineStr">
        <is>
          <t>East</t>
        </is>
      </c>
      <c r="D213" s="5" t="inlineStr">
        <is>
          <t>Smartphone</t>
        </is>
      </c>
      <c r="E213" s="5" t="n">
        <v>61</v>
      </c>
      <c r="F213" s="5" t="n">
        <v>800</v>
      </c>
      <c r="G213" s="6" t="n">
        <v>48800</v>
      </c>
      <c r="H213" s="7" t="n">
        <v>0.28</v>
      </c>
    </row>
    <row r="214">
      <c r="A214" s="2" t="n">
        <v>1213</v>
      </c>
      <c r="B214" s="2" t="inlineStr">
        <is>
          <t>Nov</t>
        </is>
      </c>
      <c r="C214" s="2" t="inlineStr">
        <is>
          <t>East</t>
        </is>
      </c>
      <c r="D214" s="2" t="inlineStr">
        <is>
          <t>Tablet</t>
        </is>
      </c>
      <c r="E214" s="2" t="n">
        <v>95</v>
      </c>
      <c r="F214" s="2" t="n">
        <v>500</v>
      </c>
      <c r="G214" s="3" t="n">
        <v>47500</v>
      </c>
      <c r="H214" s="4" t="n">
        <v>0.25</v>
      </c>
    </row>
    <row r="215">
      <c r="A215" s="5" t="n">
        <v>1214</v>
      </c>
      <c r="B215" s="5" t="inlineStr">
        <is>
          <t>Nov</t>
        </is>
      </c>
      <c r="C215" s="5" t="inlineStr">
        <is>
          <t>East</t>
        </is>
      </c>
      <c r="D215" s="5" t="inlineStr">
        <is>
          <t>Monitor</t>
        </is>
      </c>
      <c r="E215" s="5" t="n">
        <v>93</v>
      </c>
      <c r="F215" s="5" t="n">
        <v>350</v>
      </c>
      <c r="G215" s="6" t="n">
        <v>32550</v>
      </c>
      <c r="H215" s="7" t="n">
        <v>0.2</v>
      </c>
    </row>
    <row r="216">
      <c r="A216" s="2" t="n">
        <v>1215</v>
      </c>
      <c r="B216" s="2" t="inlineStr">
        <is>
          <t>Nov</t>
        </is>
      </c>
      <c r="C216" s="2" t="inlineStr">
        <is>
          <t>East</t>
        </is>
      </c>
      <c r="D216" s="2" t="inlineStr">
        <is>
          <t>Keyboard</t>
        </is>
      </c>
      <c r="E216" s="2" t="n">
        <v>57</v>
      </c>
      <c r="F216" s="2" t="n">
        <v>100</v>
      </c>
      <c r="G216" s="3" t="n">
        <v>5700</v>
      </c>
      <c r="H216" s="4" t="n">
        <v>0.35</v>
      </c>
    </row>
    <row r="217">
      <c r="A217" s="5" t="n">
        <v>1216</v>
      </c>
      <c r="B217" s="5" t="inlineStr">
        <is>
          <t>Nov</t>
        </is>
      </c>
      <c r="C217" s="5" t="inlineStr">
        <is>
          <t>West</t>
        </is>
      </c>
      <c r="D217" s="5" t="inlineStr">
        <is>
          <t>Laptop</t>
        </is>
      </c>
      <c r="E217" s="5" t="n">
        <v>66</v>
      </c>
      <c r="F217" s="5" t="n">
        <v>1200</v>
      </c>
      <c r="G217" s="6" t="n">
        <v>79200</v>
      </c>
      <c r="H217" s="7" t="n">
        <v>0.22</v>
      </c>
    </row>
    <row r="218">
      <c r="A218" s="2" t="n">
        <v>1217</v>
      </c>
      <c r="B218" s="2" t="inlineStr">
        <is>
          <t>Nov</t>
        </is>
      </c>
      <c r="C218" s="2" t="inlineStr">
        <is>
          <t>West</t>
        </is>
      </c>
      <c r="D218" s="2" t="inlineStr">
        <is>
          <t>Smartphone</t>
        </is>
      </c>
      <c r="E218" s="2" t="n">
        <v>76</v>
      </c>
      <c r="F218" s="2" t="n">
        <v>800</v>
      </c>
      <c r="G218" s="3" t="n">
        <v>60800</v>
      </c>
      <c r="H218" s="4" t="n">
        <v>0.28</v>
      </c>
    </row>
    <row r="219">
      <c r="A219" s="5" t="n">
        <v>1218</v>
      </c>
      <c r="B219" s="5" t="inlineStr">
        <is>
          <t>Nov</t>
        </is>
      </c>
      <c r="C219" s="5" t="inlineStr">
        <is>
          <t>West</t>
        </is>
      </c>
      <c r="D219" s="5" t="inlineStr">
        <is>
          <t>Tablet</t>
        </is>
      </c>
      <c r="E219" s="5" t="n">
        <v>67</v>
      </c>
      <c r="F219" s="5" t="n">
        <v>500</v>
      </c>
      <c r="G219" s="6" t="n">
        <v>33500</v>
      </c>
      <c r="H219" s="7" t="n">
        <v>0.25</v>
      </c>
    </row>
    <row r="220">
      <c r="A220" s="2" t="n">
        <v>1219</v>
      </c>
      <c r="B220" s="2" t="inlineStr">
        <is>
          <t>Nov</t>
        </is>
      </c>
      <c r="C220" s="2" t="inlineStr">
        <is>
          <t>West</t>
        </is>
      </c>
      <c r="D220" s="2" t="inlineStr">
        <is>
          <t>Monitor</t>
        </is>
      </c>
      <c r="E220" s="2" t="n">
        <v>25</v>
      </c>
      <c r="F220" s="2" t="n">
        <v>350</v>
      </c>
      <c r="G220" s="3" t="n">
        <v>8750</v>
      </c>
      <c r="H220" s="4" t="n">
        <v>0.2</v>
      </c>
    </row>
    <row r="221">
      <c r="A221" s="5" t="n">
        <v>1220</v>
      </c>
      <c r="B221" s="5" t="inlineStr">
        <is>
          <t>Nov</t>
        </is>
      </c>
      <c r="C221" s="5" t="inlineStr">
        <is>
          <t>West</t>
        </is>
      </c>
      <c r="D221" s="5" t="inlineStr">
        <is>
          <t>Keyboard</t>
        </is>
      </c>
      <c r="E221" s="5" t="n">
        <v>41</v>
      </c>
      <c r="F221" s="5" t="n">
        <v>100</v>
      </c>
      <c r="G221" s="6" t="n">
        <v>4100</v>
      </c>
      <c r="H221" s="7" t="n">
        <v>0.35</v>
      </c>
    </row>
    <row r="222">
      <c r="A222" s="2" t="n">
        <v>1221</v>
      </c>
      <c r="B222" s="2" t="inlineStr">
        <is>
          <t>Dec</t>
        </is>
      </c>
      <c r="C222" s="2" t="inlineStr">
        <is>
          <t>North</t>
        </is>
      </c>
      <c r="D222" s="2" t="inlineStr">
        <is>
          <t>Laptop</t>
        </is>
      </c>
      <c r="E222" s="2" t="n">
        <v>38</v>
      </c>
      <c r="F222" s="2" t="n">
        <v>1200</v>
      </c>
      <c r="G222" s="3" t="n">
        <v>45600</v>
      </c>
      <c r="H222" s="4" t="n">
        <v>0.22</v>
      </c>
    </row>
    <row r="223">
      <c r="A223" s="5" t="n">
        <v>1222</v>
      </c>
      <c r="B223" s="5" t="inlineStr">
        <is>
          <t>Dec</t>
        </is>
      </c>
      <c r="C223" s="5" t="inlineStr">
        <is>
          <t>North</t>
        </is>
      </c>
      <c r="D223" s="5" t="inlineStr">
        <is>
          <t>Smartphone</t>
        </is>
      </c>
      <c r="E223" s="5" t="n">
        <v>18</v>
      </c>
      <c r="F223" s="5" t="n">
        <v>800</v>
      </c>
      <c r="G223" s="6" t="n">
        <v>14400</v>
      </c>
      <c r="H223" s="7" t="n">
        <v>0.28</v>
      </c>
    </row>
    <row r="224">
      <c r="A224" s="2" t="n">
        <v>1223</v>
      </c>
      <c r="B224" s="2" t="inlineStr">
        <is>
          <t>Dec</t>
        </is>
      </c>
      <c r="C224" s="2" t="inlineStr">
        <is>
          <t>North</t>
        </is>
      </c>
      <c r="D224" s="2" t="inlineStr">
        <is>
          <t>Tablet</t>
        </is>
      </c>
      <c r="E224" s="2" t="n">
        <v>53</v>
      </c>
      <c r="F224" s="2" t="n">
        <v>500</v>
      </c>
      <c r="G224" s="3" t="n">
        <v>26500</v>
      </c>
      <c r="H224" s="4" t="n">
        <v>0.25</v>
      </c>
    </row>
    <row r="225">
      <c r="A225" s="5" t="n">
        <v>1224</v>
      </c>
      <c r="B225" s="5" t="inlineStr">
        <is>
          <t>Dec</t>
        </is>
      </c>
      <c r="C225" s="5" t="inlineStr">
        <is>
          <t>North</t>
        </is>
      </c>
      <c r="D225" s="5" t="inlineStr">
        <is>
          <t>Monitor</t>
        </is>
      </c>
      <c r="E225" s="5" t="n">
        <v>12</v>
      </c>
      <c r="F225" s="5" t="n">
        <v>350</v>
      </c>
      <c r="G225" s="6" t="n">
        <v>4200</v>
      </c>
      <c r="H225" s="7" t="n">
        <v>0.2</v>
      </c>
    </row>
    <row r="226">
      <c r="A226" s="2" t="n">
        <v>1225</v>
      </c>
      <c r="B226" s="2" t="inlineStr">
        <is>
          <t>Dec</t>
        </is>
      </c>
      <c r="C226" s="2" t="inlineStr">
        <is>
          <t>North</t>
        </is>
      </c>
      <c r="D226" s="2" t="inlineStr">
        <is>
          <t>Keyboard</t>
        </is>
      </c>
      <c r="E226" s="2" t="n">
        <v>85</v>
      </c>
      <c r="F226" s="2" t="n">
        <v>100</v>
      </c>
      <c r="G226" s="3" t="n">
        <v>8500</v>
      </c>
      <c r="H226" s="4" t="n">
        <v>0.35</v>
      </c>
    </row>
    <row r="227">
      <c r="A227" s="5" t="n">
        <v>1226</v>
      </c>
      <c r="B227" s="5" t="inlineStr">
        <is>
          <t>Dec</t>
        </is>
      </c>
      <c r="C227" s="5" t="inlineStr">
        <is>
          <t>South</t>
        </is>
      </c>
      <c r="D227" s="5" t="inlineStr">
        <is>
          <t>Laptop</t>
        </is>
      </c>
      <c r="E227" s="5" t="n">
        <v>80</v>
      </c>
      <c r="F227" s="5" t="n">
        <v>1200</v>
      </c>
      <c r="G227" s="6" t="n">
        <v>96000</v>
      </c>
      <c r="H227" s="7" t="n">
        <v>0.22</v>
      </c>
    </row>
    <row r="228">
      <c r="A228" s="2" t="n">
        <v>1227</v>
      </c>
      <c r="B228" s="2" t="inlineStr">
        <is>
          <t>Dec</t>
        </is>
      </c>
      <c r="C228" s="2" t="inlineStr">
        <is>
          <t>South</t>
        </is>
      </c>
      <c r="D228" s="2" t="inlineStr">
        <is>
          <t>Smartphone</t>
        </is>
      </c>
      <c r="E228" s="2" t="n">
        <v>39</v>
      </c>
      <c r="F228" s="2" t="n">
        <v>800</v>
      </c>
      <c r="G228" s="3" t="n">
        <v>31200</v>
      </c>
      <c r="H228" s="4" t="n">
        <v>0.28</v>
      </c>
    </row>
    <row r="229">
      <c r="A229" s="5" t="n">
        <v>1228</v>
      </c>
      <c r="B229" s="5" t="inlineStr">
        <is>
          <t>Dec</t>
        </is>
      </c>
      <c r="C229" s="5" t="inlineStr">
        <is>
          <t>South</t>
        </is>
      </c>
      <c r="D229" s="5" t="inlineStr">
        <is>
          <t>Tablet</t>
        </is>
      </c>
      <c r="E229" s="5" t="n">
        <v>85</v>
      </c>
      <c r="F229" s="5" t="n">
        <v>500</v>
      </c>
      <c r="G229" s="6" t="n">
        <v>42500</v>
      </c>
      <c r="H229" s="7" t="n">
        <v>0.25</v>
      </c>
    </row>
    <row r="230">
      <c r="A230" s="2" t="n">
        <v>1229</v>
      </c>
      <c r="B230" s="2" t="inlineStr">
        <is>
          <t>Dec</t>
        </is>
      </c>
      <c r="C230" s="2" t="inlineStr">
        <is>
          <t>South</t>
        </is>
      </c>
      <c r="D230" s="2" t="inlineStr">
        <is>
          <t>Monitor</t>
        </is>
      </c>
      <c r="E230" s="2" t="n">
        <v>38</v>
      </c>
      <c r="F230" s="2" t="n">
        <v>350</v>
      </c>
      <c r="G230" s="3" t="n">
        <v>13300</v>
      </c>
      <c r="H230" s="4" t="n">
        <v>0.2</v>
      </c>
    </row>
    <row r="231">
      <c r="A231" s="5" t="n">
        <v>1230</v>
      </c>
      <c r="B231" s="5" t="inlineStr">
        <is>
          <t>Dec</t>
        </is>
      </c>
      <c r="C231" s="5" t="inlineStr">
        <is>
          <t>South</t>
        </is>
      </c>
      <c r="D231" s="5" t="inlineStr">
        <is>
          <t>Keyboard</t>
        </is>
      </c>
      <c r="E231" s="5" t="n">
        <v>10</v>
      </c>
      <c r="F231" s="5" t="n">
        <v>100</v>
      </c>
      <c r="G231" s="6" t="n">
        <v>1000</v>
      </c>
      <c r="H231" s="7" t="n">
        <v>0.35</v>
      </c>
    </row>
    <row r="232">
      <c r="A232" s="2" t="n">
        <v>1231</v>
      </c>
      <c r="B232" s="2" t="inlineStr">
        <is>
          <t>Dec</t>
        </is>
      </c>
      <c r="C232" s="2" t="inlineStr">
        <is>
          <t>East</t>
        </is>
      </c>
      <c r="D232" s="2" t="inlineStr">
        <is>
          <t>Laptop</t>
        </is>
      </c>
      <c r="E232" s="2" t="n">
        <v>19</v>
      </c>
      <c r="F232" s="2" t="n">
        <v>1200</v>
      </c>
      <c r="G232" s="3" t="n">
        <v>22800</v>
      </c>
      <c r="H232" s="4" t="n">
        <v>0.22</v>
      </c>
    </row>
    <row r="233">
      <c r="A233" s="5" t="n">
        <v>1232</v>
      </c>
      <c r="B233" s="5" t="inlineStr">
        <is>
          <t>Dec</t>
        </is>
      </c>
      <c r="C233" s="5" t="inlineStr">
        <is>
          <t>East</t>
        </is>
      </c>
      <c r="D233" s="5" t="inlineStr">
        <is>
          <t>Smartphone</t>
        </is>
      </c>
      <c r="E233" s="5" t="n">
        <v>100</v>
      </c>
      <c r="F233" s="5" t="n">
        <v>800</v>
      </c>
      <c r="G233" s="6" t="n">
        <v>80000</v>
      </c>
      <c r="H233" s="7" t="n">
        <v>0.28</v>
      </c>
    </row>
    <row r="234">
      <c r="A234" s="2" t="n">
        <v>1233</v>
      </c>
      <c r="B234" s="2" t="inlineStr">
        <is>
          <t>Dec</t>
        </is>
      </c>
      <c r="C234" s="2" t="inlineStr">
        <is>
          <t>East</t>
        </is>
      </c>
      <c r="D234" s="2" t="inlineStr">
        <is>
          <t>Tablet</t>
        </is>
      </c>
      <c r="E234" s="2" t="n">
        <v>90</v>
      </c>
      <c r="F234" s="2" t="n">
        <v>500</v>
      </c>
      <c r="G234" s="3" t="n">
        <v>45000</v>
      </c>
      <c r="H234" s="4" t="n">
        <v>0.25</v>
      </c>
    </row>
    <row r="235">
      <c r="A235" s="5" t="n">
        <v>1234</v>
      </c>
      <c r="B235" s="5" t="inlineStr">
        <is>
          <t>Dec</t>
        </is>
      </c>
      <c r="C235" s="5" t="inlineStr">
        <is>
          <t>East</t>
        </is>
      </c>
      <c r="D235" s="5" t="inlineStr">
        <is>
          <t>Monitor</t>
        </is>
      </c>
      <c r="E235" s="5" t="n">
        <v>17</v>
      </c>
      <c r="F235" s="5" t="n">
        <v>350</v>
      </c>
      <c r="G235" s="6" t="n">
        <v>5950</v>
      </c>
      <c r="H235" s="7" t="n">
        <v>0.2</v>
      </c>
    </row>
    <row r="236">
      <c r="A236" s="2" t="n">
        <v>1235</v>
      </c>
      <c r="B236" s="2" t="inlineStr">
        <is>
          <t>Dec</t>
        </is>
      </c>
      <c r="C236" s="2" t="inlineStr">
        <is>
          <t>East</t>
        </is>
      </c>
      <c r="D236" s="2" t="inlineStr">
        <is>
          <t>Keyboard</t>
        </is>
      </c>
      <c r="E236" s="2" t="n">
        <v>39</v>
      </c>
      <c r="F236" s="2" t="n">
        <v>100</v>
      </c>
      <c r="G236" s="3" t="n">
        <v>3900</v>
      </c>
      <c r="H236" s="4" t="n">
        <v>0.35</v>
      </c>
    </row>
    <row r="237">
      <c r="A237" s="5" t="n">
        <v>1236</v>
      </c>
      <c r="B237" s="5" t="inlineStr">
        <is>
          <t>Dec</t>
        </is>
      </c>
      <c r="C237" s="5" t="inlineStr">
        <is>
          <t>West</t>
        </is>
      </c>
      <c r="D237" s="5" t="inlineStr">
        <is>
          <t>Laptop</t>
        </is>
      </c>
      <c r="E237" s="5" t="n">
        <v>18</v>
      </c>
      <c r="F237" s="5" t="n">
        <v>1200</v>
      </c>
      <c r="G237" s="6" t="n">
        <v>21600</v>
      </c>
      <c r="H237" s="7" t="n">
        <v>0.22</v>
      </c>
    </row>
    <row r="238">
      <c r="A238" s="2" t="n">
        <v>1237</v>
      </c>
      <c r="B238" s="2" t="inlineStr">
        <is>
          <t>Dec</t>
        </is>
      </c>
      <c r="C238" s="2" t="inlineStr">
        <is>
          <t>West</t>
        </is>
      </c>
      <c r="D238" s="2" t="inlineStr">
        <is>
          <t>Smartphone</t>
        </is>
      </c>
      <c r="E238" s="2" t="n">
        <v>14</v>
      </c>
      <c r="F238" s="2" t="n">
        <v>800</v>
      </c>
      <c r="G238" s="3" t="n">
        <v>11200</v>
      </c>
      <c r="H238" s="4" t="n">
        <v>0.28</v>
      </c>
    </row>
    <row r="239">
      <c r="A239" s="5" t="n">
        <v>1238</v>
      </c>
      <c r="B239" s="5" t="inlineStr">
        <is>
          <t>Dec</t>
        </is>
      </c>
      <c r="C239" s="5" t="inlineStr">
        <is>
          <t>West</t>
        </is>
      </c>
      <c r="D239" s="5" t="inlineStr">
        <is>
          <t>Tablet</t>
        </is>
      </c>
      <c r="E239" s="5" t="n">
        <v>52</v>
      </c>
      <c r="F239" s="5" t="n">
        <v>500</v>
      </c>
      <c r="G239" s="6" t="n">
        <v>26000</v>
      </c>
      <c r="H239" s="7" t="n">
        <v>0.25</v>
      </c>
    </row>
    <row r="240">
      <c r="A240" s="2" t="n">
        <v>1239</v>
      </c>
      <c r="B240" s="2" t="inlineStr">
        <is>
          <t>Dec</t>
        </is>
      </c>
      <c r="C240" s="2" t="inlineStr">
        <is>
          <t>West</t>
        </is>
      </c>
      <c r="D240" s="2" t="inlineStr">
        <is>
          <t>Monitor</t>
        </is>
      </c>
      <c r="E240" s="2" t="n">
        <v>19</v>
      </c>
      <c r="F240" s="2" t="n">
        <v>350</v>
      </c>
      <c r="G240" s="3" t="n">
        <v>6650</v>
      </c>
      <c r="H240" s="4" t="n">
        <v>0.2</v>
      </c>
    </row>
    <row r="241">
      <c r="A241" s="5" t="n">
        <v>1240</v>
      </c>
      <c r="B241" s="5" t="inlineStr">
        <is>
          <t>Dec</t>
        </is>
      </c>
      <c r="C241" s="5" t="inlineStr">
        <is>
          <t>West</t>
        </is>
      </c>
      <c r="D241" s="5" t="inlineStr">
        <is>
          <t>Keyboard</t>
        </is>
      </c>
      <c r="E241" s="5" t="n">
        <v>75</v>
      </c>
      <c r="F241" s="5" t="n">
        <v>100</v>
      </c>
      <c r="G241" s="6" t="n">
        <v>7500</v>
      </c>
      <c r="H241" s="7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</cols>
  <sheetData>
    <row r="1">
      <c r="A1" s="8" t="inlineStr">
        <is>
          <t>Sales Performance Analysis – 2024</t>
        </is>
      </c>
    </row>
    <row r="3">
      <c r="A3" s="9" t="inlineStr">
        <is>
          <t>Key Metrics</t>
        </is>
      </c>
    </row>
    <row r="4">
      <c r="A4" s="10" t="inlineStr">
        <is>
          <t>Metric</t>
        </is>
      </c>
      <c r="B4" s="10" t="inlineStr">
        <is>
          <t>Value</t>
        </is>
      </c>
    </row>
    <row r="5">
      <c r="A5" s="11" t="inlineStr">
        <is>
          <t>Total Revenue</t>
        </is>
      </c>
      <c r="B5" s="6">
        <f>SUM('Sales Data'!G:G)</f>
        <v/>
      </c>
    </row>
    <row r="6">
      <c r="A6" s="11" t="inlineStr">
        <is>
          <t>Total Units Sold</t>
        </is>
      </c>
      <c r="B6" s="5">
        <f>SUM('Sales Data'!E:E)</f>
        <v/>
      </c>
    </row>
    <row r="7">
      <c r="A7" s="11" t="inlineStr">
        <is>
          <t>Avg Profit Margin</t>
        </is>
      </c>
      <c r="B7" s="12">
        <f>AVERAGE('Sales Data'!H:H)</f>
        <v/>
      </c>
    </row>
    <row r="8">
      <c r="A8" s="11" t="inlineStr">
        <is>
          <t>Best Performing Product</t>
        </is>
      </c>
      <c r="B8" s="5" t="inlineStr">
        <is>
          <t>Laptop</t>
        </is>
      </c>
    </row>
    <row r="10">
      <c r="A10" s="9" t="inlineStr">
        <is>
          <t>Monthly Sales Summary</t>
        </is>
      </c>
    </row>
    <row r="11">
      <c r="A11" s="10" t="inlineStr">
        <is>
          <t>Month</t>
        </is>
      </c>
      <c r="B11" s="10" t="inlineStr">
        <is>
          <t>Total Sales ($)</t>
        </is>
      </c>
      <c r="C11" s="10" t="inlineStr">
        <is>
          <t>Units Sold</t>
        </is>
      </c>
    </row>
    <row r="12">
      <c r="A12" s="2" t="inlineStr">
        <is>
          <t>Jan</t>
        </is>
      </c>
      <c r="B12" s="3">
        <f>SUMIF('Sales Data'!B:B,"Jan",'Sales Data'!G:G)</f>
        <v/>
      </c>
      <c r="C12" s="2">
        <f>SUMIF('Sales Data'!B:B,"Jan",'Sales Data'!E:E)</f>
        <v/>
      </c>
    </row>
    <row r="13">
      <c r="A13" s="5" t="inlineStr">
        <is>
          <t>Feb</t>
        </is>
      </c>
      <c r="B13" s="6">
        <f>SUMIF('Sales Data'!B:B,"Feb",'Sales Data'!G:G)</f>
        <v/>
      </c>
      <c r="C13" s="5">
        <f>SUMIF('Sales Data'!B:B,"Feb",'Sales Data'!E:E)</f>
        <v/>
      </c>
    </row>
    <row r="14">
      <c r="A14" s="2" t="inlineStr">
        <is>
          <t>Mar</t>
        </is>
      </c>
      <c r="B14" s="3">
        <f>SUMIF('Sales Data'!B:B,"Mar",'Sales Data'!G:G)</f>
        <v/>
      </c>
      <c r="C14" s="2">
        <f>SUMIF('Sales Data'!B:B,"Mar",'Sales Data'!E:E)</f>
        <v/>
      </c>
    </row>
    <row r="15">
      <c r="A15" s="5" t="inlineStr">
        <is>
          <t>Apr</t>
        </is>
      </c>
      <c r="B15" s="6">
        <f>SUMIF('Sales Data'!B:B,"Apr",'Sales Data'!G:G)</f>
        <v/>
      </c>
      <c r="C15" s="5">
        <f>SUMIF('Sales Data'!B:B,"Apr",'Sales Data'!E:E)</f>
        <v/>
      </c>
    </row>
    <row r="16">
      <c r="A16" s="2" t="inlineStr">
        <is>
          <t>May</t>
        </is>
      </c>
      <c r="B16" s="3">
        <f>SUMIF('Sales Data'!B:B,"May",'Sales Data'!G:G)</f>
        <v/>
      </c>
      <c r="C16" s="2">
        <f>SUMIF('Sales Data'!B:B,"May",'Sales Data'!E:E)</f>
        <v/>
      </c>
    </row>
    <row r="17">
      <c r="A17" s="5" t="inlineStr">
        <is>
          <t>Jun</t>
        </is>
      </c>
      <c r="B17" s="6">
        <f>SUMIF('Sales Data'!B:B,"Jun",'Sales Data'!G:G)</f>
        <v/>
      </c>
      <c r="C17" s="5">
        <f>SUMIF('Sales Data'!B:B,"Jun",'Sales Data'!E:E)</f>
        <v/>
      </c>
    </row>
    <row r="18">
      <c r="A18" s="2" t="inlineStr">
        <is>
          <t>Jul</t>
        </is>
      </c>
      <c r="B18" s="3">
        <f>SUMIF('Sales Data'!B:B,"Jul",'Sales Data'!G:G)</f>
        <v/>
      </c>
      <c r="C18" s="2">
        <f>SUMIF('Sales Data'!B:B,"Jul",'Sales Data'!E:E)</f>
        <v/>
      </c>
    </row>
    <row r="19">
      <c r="A19" s="5" t="inlineStr">
        <is>
          <t>Aug</t>
        </is>
      </c>
      <c r="B19" s="6">
        <f>SUMIF('Sales Data'!B:B,"Aug",'Sales Data'!G:G)</f>
        <v/>
      </c>
      <c r="C19" s="5">
        <f>SUMIF('Sales Data'!B:B,"Aug",'Sales Data'!E:E)</f>
        <v/>
      </c>
    </row>
    <row r="20">
      <c r="A20" s="2" t="inlineStr">
        <is>
          <t>Sep</t>
        </is>
      </c>
      <c r="B20" s="3">
        <f>SUMIF('Sales Data'!B:B,"Sep",'Sales Data'!G:G)</f>
        <v/>
      </c>
      <c r="C20" s="2">
        <f>SUMIF('Sales Data'!B:B,"Sep",'Sales Data'!E:E)</f>
        <v/>
      </c>
    </row>
    <row r="21">
      <c r="A21" s="5" t="inlineStr">
        <is>
          <t>Oct</t>
        </is>
      </c>
      <c r="B21" s="6">
        <f>SUMIF('Sales Data'!B:B,"Oct",'Sales Data'!G:G)</f>
        <v/>
      </c>
      <c r="C21" s="5">
        <f>SUMIF('Sales Data'!B:B,"Oct",'Sales Data'!E:E)</f>
        <v/>
      </c>
    </row>
    <row r="22">
      <c r="A22" s="2" t="inlineStr">
        <is>
          <t>Nov</t>
        </is>
      </c>
      <c r="B22" s="3">
        <f>SUMIF('Sales Data'!B:B,"Nov",'Sales Data'!G:G)</f>
        <v/>
      </c>
      <c r="C22" s="2">
        <f>SUMIF('Sales Data'!B:B,"Nov",'Sales Data'!E:E)</f>
        <v/>
      </c>
    </row>
    <row r="23">
      <c r="A23" s="5" t="inlineStr">
        <is>
          <t>Dec</t>
        </is>
      </c>
      <c r="B23" s="6">
        <f>SUMIF('Sales Data'!B:B,"Dec",'Sales Data'!G:G)</f>
        <v/>
      </c>
      <c r="C23" s="5">
        <f>SUMIF('Sales Data'!B:B,"Dec",'Sales Data'!E:E)</f>
        <v/>
      </c>
    </row>
    <row r="26">
      <c r="A26" s="9" t="inlineStr">
        <is>
          <t>Sales by Region</t>
        </is>
      </c>
    </row>
    <row r="27">
      <c r="A27" s="10" t="inlineStr">
        <is>
          <t>Region</t>
        </is>
      </c>
      <c r="B27" s="10" t="inlineStr">
        <is>
          <t>Total Sales ($)</t>
        </is>
      </c>
      <c r="C27" s="10" t="inlineStr">
        <is>
          <t>Units Sold</t>
        </is>
      </c>
    </row>
    <row r="28">
      <c r="A28" s="5" t="inlineStr">
        <is>
          <t>North</t>
        </is>
      </c>
      <c r="B28" s="6">
        <f>SUMIF('Sales Data'!C:C,"North",'Sales Data'!G:G)</f>
        <v/>
      </c>
      <c r="C28" s="5">
        <f>SUMIF('Sales Data'!C:C,"North",'Sales Data'!E:E)</f>
        <v/>
      </c>
    </row>
    <row r="29">
      <c r="A29" s="5" t="inlineStr">
        <is>
          <t>South</t>
        </is>
      </c>
      <c r="B29" s="6">
        <f>SUMIF('Sales Data'!C:C,"South",'Sales Data'!G:G)</f>
        <v/>
      </c>
      <c r="C29" s="5">
        <f>SUMIF('Sales Data'!C:C,"South",'Sales Data'!E:E)</f>
        <v/>
      </c>
    </row>
    <row r="30">
      <c r="A30" s="5" t="inlineStr">
        <is>
          <t>East</t>
        </is>
      </c>
      <c r="B30" s="6">
        <f>SUMIF('Sales Data'!C:C,"East",'Sales Data'!G:G)</f>
        <v/>
      </c>
      <c r="C30" s="5">
        <f>SUMIF('Sales Data'!C:C,"East",'Sales Data'!E:E)</f>
        <v/>
      </c>
    </row>
    <row r="31">
      <c r="A31" s="5" t="inlineStr">
        <is>
          <t>West</t>
        </is>
      </c>
      <c r="B31" s="6">
        <f>SUMIF('Sales Data'!C:C,"West",'Sales Data'!G:G)</f>
        <v/>
      </c>
      <c r="C31" s="5">
        <f>SUMIF('Sales Data'!C:C,"West",'Sales Data'!E:E)</f>
        <v/>
      </c>
    </row>
    <row r="34">
      <c r="A34" s="9" t="inlineStr">
        <is>
          <t>Sales by Product</t>
        </is>
      </c>
    </row>
    <row r="35">
      <c r="A35" s="10" t="inlineStr">
        <is>
          <t>Product</t>
        </is>
      </c>
      <c r="B35" s="10" t="inlineStr">
        <is>
          <t>Total Sales ($)</t>
        </is>
      </c>
      <c r="C35" s="10" t="inlineStr">
        <is>
          <t>Units Sold</t>
        </is>
      </c>
    </row>
    <row r="36">
      <c r="A36" s="2" t="inlineStr">
        <is>
          <t>Laptop</t>
        </is>
      </c>
      <c r="B36" s="3">
        <f>SUMIF('Sales Data'!D:D,"Laptop",'Sales Data'!G:G)</f>
        <v/>
      </c>
      <c r="C36" s="2">
        <f>SUMIF('Sales Data'!D:D,"Laptop",'Sales Data'!E:E)</f>
        <v/>
      </c>
    </row>
    <row r="37">
      <c r="A37" s="5" t="inlineStr">
        <is>
          <t>Smartphone</t>
        </is>
      </c>
      <c r="B37" s="6">
        <f>SUMIF('Sales Data'!D:D,"Smartphone",'Sales Data'!G:G)</f>
        <v/>
      </c>
      <c r="C37" s="5">
        <f>SUMIF('Sales Data'!D:D,"Smartphone",'Sales Data'!E:E)</f>
        <v/>
      </c>
    </row>
    <row r="38">
      <c r="A38" s="2" t="inlineStr">
        <is>
          <t>Tablet</t>
        </is>
      </c>
      <c r="B38" s="3">
        <f>SUMIF('Sales Data'!D:D,"Tablet",'Sales Data'!G:G)</f>
        <v/>
      </c>
      <c r="C38" s="2">
        <f>SUMIF('Sales Data'!D:D,"Tablet",'Sales Data'!E:E)</f>
        <v/>
      </c>
    </row>
    <row r="39">
      <c r="A39" s="5" t="inlineStr">
        <is>
          <t>Monitor</t>
        </is>
      </c>
      <c r="B39" s="6">
        <f>SUMIF('Sales Data'!D:D,"Monitor",'Sales Data'!G:G)</f>
        <v/>
      </c>
      <c r="C39" s="5">
        <f>SUMIF('Sales Data'!D:D,"Monitor",'Sales Data'!E:E)</f>
        <v/>
      </c>
    </row>
    <row r="40">
      <c r="A40" s="2" t="inlineStr">
        <is>
          <t>Keyboard</t>
        </is>
      </c>
      <c r="B40" s="3">
        <f>SUMIF('Sales Data'!D:D,"Keyboard",'Sales Data'!G:G)</f>
        <v/>
      </c>
      <c r="C40" s="2">
        <f>SUMIF('Sales Data'!D:D,"Keyboard",'Sales Data'!E:E)</f>
        <v/>
      </c>
    </row>
  </sheetData>
  <mergeCells count="4">
    <mergeCell ref="A10:C10"/>
    <mergeCell ref="A26:C26"/>
    <mergeCell ref="A3:D3"/>
    <mergeCell ref="A34:C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2026-04-02T11:08:57Z</dcterms:created>
  <dcterms:modified xmlns:dcterms="http://purl.org/dc/terms/" xmlns:xsi="http://www.w3.org/2001/XMLSchema-instance" xsi:type="dcterms:W3CDTF">2026-04-02T11:08:58Z</dcterms:modified>
</cp:coreProperties>
</file>